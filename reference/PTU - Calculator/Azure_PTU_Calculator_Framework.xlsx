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figuration" sheetId="2" state="visible" r:id="rId2"/>
    <sheet xmlns:r="http://schemas.openxmlformats.org/officeDocument/2006/relationships" name="Workload Inputs" sheetId="3" state="visible" r:id="rId3"/>
    <sheet xmlns:r="http://schemas.openxmlformats.org/officeDocument/2006/relationships" name="PTU Rates" sheetId="4" state="visible" r:id="rId4"/>
    <sheet xmlns:r="http://schemas.openxmlformats.org/officeDocument/2006/relationships" name="Capacity Summary" sheetId="5" state="visible" r:id="rId5"/>
    <sheet xmlns:r="http://schemas.openxmlformats.org/officeDocument/2006/relationships" name="Cost Analysis" sheetId="6" state="visible" r:id="rId6"/>
    <sheet xmlns:r="http://schemas.openxmlformats.org/officeDocument/2006/relationships" name="Spillover Planner" sheetId="7" state="visible" r:id="rId7"/>
    <sheet xmlns:r="http://schemas.openxmlformats.org/officeDocument/2006/relationships" name="Reservation Optimizer" sheetId="8" state="visible" r:id="rId8"/>
    <sheet xmlns:r="http://schemas.openxmlformats.org/officeDocument/2006/relationships" name="Chargeback Model" sheetId="9" state="visible" r:id="rId9"/>
    <sheet xmlns:r="http://schemas.openxmlformats.org/officeDocument/2006/relationships" name="Benchmarking Log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20"/>
    </font>
    <font>
      <name val="Arial"/>
      <charset val="1"/>
      <family val="0"/>
      <color rgb="FF2E75B6"/>
      <sz val="14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2E75B6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2E75B6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E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25" customWidth="1" style="19" min="2" max="2"/>
    <col width="18" customWidth="1" style="19" min="3" max="7"/>
    <col width="3" customWidth="1" style="19" min="8" max="8"/>
  </cols>
  <sheetData>
    <row r="2" ht="24.45" customHeight="1" s="20">
      <c r="B2" s="21" t="inlineStr">
        <is>
          <t>Azure OpenAI PTU Calculator</t>
        </is>
      </c>
    </row>
    <row r="3" ht="17.35" customHeight="1" s="20">
      <c r="B3" s="22" t="inlineStr">
        <is>
          <t>Enterprise Capacity Planning Framework</t>
        </is>
      </c>
    </row>
    <row r="4" ht="15" customHeight="1" s="20">
      <c r="B4" s="23" t="inlineStr">
        <is>
          <t>Version 1.0 | Deloitte Microsoft Practice</t>
        </is>
      </c>
    </row>
    <row r="6" ht="15" customHeight="1" s="20">
      <c r="B6" s="24" t="inlineStr">
        <is>
          <t>EXECUTIVE SUMMARY</t>
        </is>
      </c>
    </row>
    <row r="7" ht="15" customHeight="1" s="20">
      <c r="B7" s="25" t="inlineStr">
        <is>
          <t>Metric</t>
        </is>
      </c>
      <c r="C7" s="25" t="inlineStr">
        <is>
          <t>Value</t>
        </is>
      </c>
      <c r="D7" s="25" t="inlineStr">
        <is>
          <t>Unit</t>
        </is>
      </c>
      <c r="E7" s="25" t="inlineStr">
        <is>
          <t>Status</t>
        </is>
      </c>
    </row>
    <row r="8" ht="15" customHeight="1" s="20">
      <c r="B8" s="26" t="inlineStr">
        <is>
          <t>Total PTUs Required</t>
        </is>
      </c>
      <c r="C8" s="27">
        <f>'Capacity Summary'!D15</f>
        <v/>
      </c>
      <c r="D8" s="26" t="inlineStr">
        <is>
          <t>PTUs</t>
        </is>
      </c>
      <c r="E8" s="26">
        <f>IF(C8&gt;0,"✓ Calculated","⚠ Enter Data")</f>
        <v/>
      </c>
    </row>
    <row r="9" ht="15" customHeight="1" s="20">
      <c r="B9" s="26" t="inlineStr">
        <is>
          <t>Total Monthly Cost (Hourly)</t>
        </is>
      </c>
      <c r="C9" s="27">
        <f>'Cost Analysis'!D8</f>
        <v/>
      </c>
      <c r="D9" s="26" t="inlineStr">
        <is>
          <t>USD</t>
        </is>
      </c>
      <c r="E9" s="26">
        <f>IF(C9&gt;0,"✓ Calculated","-")</f>
        <v/>
      </c>
    </row>
    <row r="10" ht="15" customHeight="1" s="20">
      <c r="B10" s="26" t="inlineStr">
        <is>
          <t>Total Monthly Cost (Reserved)</t>
        </is>
      </c>
      <c r="C10" s="27">
        <f>'Cost Analysis'!D12</f>
        <v/>
      </c>
      <c r="D10" s="26" t="inlineStr">
        <is>
          <t>USD</t>
        </is>
      </c>
      <c r="E10" s="26">
        <f>IF(C10&gt;0,"✓ Calculated","-")</f>
        <v/>
      </c>
    </row>
    <row r="11" ht="15" customHeight="1" s="20">
      <c r="B11" s="26" t="inlineStr">
        <is>
          <t>Annual Savings with Reservation</t>
        </is>
      </c>
      <c r="C11" s="27">
        <f>'Cost Analysis'!D16</f>
        <v/>
      </c>
      <c r="D11" s="26" t="inlineStr">
        <is>
          <t>USD</t>
        </is>
      </c>
      <c r="E11" s="26">
        <f>IF(C11&gt;0,"✓ Calculated","-")</f>
        <v/>
      </c>
    </row>
    <row r="12" ht="15" customHeight="1" s="20">
      <c r="B12" s="26" t="inlineStr">
        <is>
          <t>Applications Configured</t>
        </is>
      </c>
      <c r="C12" s="27">
        <f>COUNTA('Workload Inputs'!B8:B27)-COUNTBLANK('Workload Inputs'!B8:B27)</f>
        <v/>
      </c>
      <c r="D12" s="26" t="inlineStr">
        <is>
          <t>Apps</t>
        </is>
      </c>
      <c r="E12" s="26">
        <f>IF(C12&gt;0,"✓ Ready","⚠ Configure")</f>
        <v/>
      </c>
    </row>
    <row r="13" ht="15" customHeight="1" s="20">
      <c r="B13" s="26" t="inlineStr">
        <is>
          <t>PTU Utilization Target</t>
        </is>
      </c>
      <c r="C13" s="27">
        <f>Configuration!C12</f>
        <v/>
      </c>
      <c r="D13" s="26" t="inlineStr">
        <is>
          <t>%</t>
        </is>
      </c>
      <c r="E13" s="26">
        <f>IF(C13&gt;0,"✓ Set","⚠ Set Target")</f>
        <v/>
      </c>
    </row>
    <row r="16" ht="15" customHeight="1" s="20">
      <c r="B16" s="24" t="inlineStr">
        <is>
          <t>QUICK NAVIGATION</t>
        </is>
      </c>
    </row>
    <row r="17" ht="15" customHeight="1" s="20">
      <c r="B17" s="28" t="inlineStr">
        <is>
          <t>1. Configuration</t>
        </is>
      </c>
      <c r="C17" s="29" t="inlineStr">
        <is>
          <t>Set global parameters and rates</t>
        </is>
      </c>
    </row>
    <row r="18" ht="15" customHeight="1" s="20">
      <c r="B18" s="28" t="inlineStr">
        <is>
          <t>2. Workload Inputs</t>
        </is>
      </c>
      <c r="C18" s="29" t="inlineStr">
        <is>
          <t>Enter application requirements</t>
        </is>
      </c>
    </row>
    <row r="19" ht="15" customHeight="1" s="20">
      <c r="B19" s="28" t="inlineStr">
        <is>
          <t>3. PTU Rates</t>
        </is>
      </c>
      <c r="C19" s="29" t="inlineStr">
        <is>
          <t>Model-specific conversion rates</t>
        </is>
      </c>
    </row>
    <row r="20" ht="15" customHeight="1" s="20">
      <c r="B20" s="28" t="inlineStr">
        <is>
          <t>4. Capacity Summary</t>
        </is>
      </c>
      <c r="C20" s="29" t="inlineStr">
        <is>
          <t>View PTU calculations</t>
        </is>
      </c>
    </row>
    <row r="21" ht="15" customHeight="1" s="20">
      <c r="B21" s="28" t="inlineStr">
        <is>
          <t>5. Cost Analysis</t>
        </is>
      </c>
      <c r="C21" s="29" t="inlineStr">
        <is>
          <t>Compare PTU vs PAYGO costs</t>
        </is>
      </c>
    </row>
    <row r="22" ht="15" customHeight="1" s="20">
      <c r="B22" s="28" t="inlineStr">
        <is>
          <t>6. Spillover Planner</t>
        </is>
      </c>
      <c r="C22" s="29" t="inlineStr">
        <is>
          <t>Configure overflow strategy</t>
        </is>
      </c>
    </row>
    <row r="23" ht="15" customHeight="1" s="20">
      <c r="B23" s="28" t="inlineStr">
        <is>
          <t>7. Reservation Optimizer</t>
        </is>
      </c>
      <c r="C23" s="29" t="inlineStr">
        <is>
          <t>Plan commitment terms</t>
        </is>
      </c>
    </row>
    <row r="24" ht="15" customHeight="1" s="20">
      <c r="B24" s="28" t="inlineStr">
        <is>
          <t>8. Chargeback Model</t>
        </is>
      </c>
      <c r="C24" s="29" t="inlineStr">
        <is>
          <t>Allocate costs by application</t>
        </is>
      </c>
    </row>
    <row r="27" ht="15" customHeight="1" s="20">
      <c r="B27" s="24" t="inlineStr">
        <is>
          <t>INSTRUCTIONS</t>
        </is>
      </c>
    </row>
    <row r="28" ht="15" customHeight="1" s="20">
      <c r="B28" s="19" t="inlineStr">
        <is>
          <t>1. Start with the Configuration sheet to set your pricing region and buffer percentages</t>
        </is>
      </c>
    </row>
    <row r="29" ht="15" customHeight="1" s="20">
      <c r="B29" s="19" t="inlineStr">
        <is>
          <t>2. Enter your workload details in the Workload Inputs sheet (blue cells are inputs)</t>
        </is>
      </c>
    </row>
    <row r="30" ht="15" customHeight="1" s="20">
      <c r="B30" s="19" t="inlineStr">
        <is>
          <t>3. Review PTU Rates and update if Microsoft has published new rates</t>
        </is>
      </c>
    </row>
    <row r="31" ht="15" customHeight="1" s="20">
      <c r="B31" s="19" t="inlineStr">
        <is>
          <t>4. Check Capacity Summary for calculated PTU requirements</t>
        </is>
      </c>
    </row>
    <row r="32" ht="15" customHeight="1" s="20">
      <c r="B32" s="19" t="inlineStr">
        <is>
          <t>5. Use Cost Analysis to compare economic scenarios</t>
        </is>
      </c>
    </row>
    <row r="33" ht="15" customHeight="1" s="20">
      <c r="B33" s="19" t="inlineStr">
        <is>
          <t>6. Configure Spillover Planner for hybrid PTU/PAYGO architecture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35" customWidth="1" style="19" min="2" max="2"/>
    <col width="20" customWidth="1" style="19" min="3" max="3"/>
    <col width="40" customWidth="1" style="19" min="4" max="4"/>
    <col width="3" customWidth="1" style="19" min="5" max="5"/>
  </cols>
  <sheetData>
    <row r="2" ht="17.35" customHeight="1" s="20">
      <c r="B2" s="30" t="inlineStr">
        <is>
          <t>Global Configuration</t>
        </is>
      </c>
    </row>
    <row r="4" ht="15" customHeight="1" s="20">
      <c r="B4" s="24" t="inlineStr">
        <is>
          <t>PRICING &amp; REGION SETTINGS</t>
        </is>
      </c>
    </row>
    <row r="5" ht="15" customHeight="1" s="20">
      <c r="B5" s="25" t="inlineStr">
        <is>
          <t>Parameter</t>
        </is>
      </c>
      <c r="C5" s="25" t="inlineStr">
        <is>
          <t>Value</t>
        </is>
      </c>
      <c r="D5" s="25" t="inlineStr">
        <is>
          <t>Description</t>
        </is>
      </c>
    </row>
    <row r="6" ht="28.35" customHeight="1" s="20">
      <c r="B6" s="26" t="inlineStr">
        <is>
          <t>Deployment Type</t>
        </is>
      </c>
      <c r="C6" s="31" t="inlineStr">
        <is>
          <t>Global Provisioned</t>
        </is>
      </c>
      <c r="D6" s="32" t="inlineStr">
        <is>
          <t>Options: Global Provisioned, Data Zone Provisioned, Regional Provisioned</t>
        </is>
      </c>
    </row>
    <row r="7" ht="15" customHeight="1" s="20">
      <c r="B7" s="26" t="inlineStr">
        <is>
          <t>Primary Region</t>
        </is>
      </c>
      <c r="C7" s="31" t="inlineStr">
        <is>
          <t>East US 2</t>
        </is>
      </c>
      <c r="D7" s="32" t="inlineStr">
        <is>
          <t>Azure region for primary deployment</t>
        </is>
      </c>
    </row>
    <row r="8" ht="15" customHeight="1" s="20">
      <c r="B8" s="26" t="inlineStr">
        <is>
          <t>Secondary Region</t>
        </is>
      </c>
      <c r="C8" s="31" t="inlineStr">
        <is>
          <t>West US 2</t>
        </is>
      </c>
      <c r="D8" s="32" t="inlineStr">
        <is>
          <t>Azure region for failover/spillover</t>
        </is>
      </c>
    </row>
    <row r="9" ht="15" customHeight="1" s="20">
      <c r="B9" s="26" t="inlineStr">
        <is>
          <t>Currency</t>
        </is>
      </c>
      <c r="C9" s="31" t="inlineStr">
        <is>
          <t>USD</t>
        </is>
      </c>
      <c r="D9" s="32" t="inlineStr">
        <is>
          <t>Pricing currency</t>
        </is>
      </c>
    </row>
    <row r="10" ht="15" customHeight="1" s="20">
      <c r="B10" s="26" t="inlineStr">
        <is>
          <t>Hourly PTU Rate ($/PTU/hr)</t>
        </is>
      </c>
      <c r="C10" s="33" t="n">
        <v>0.0396</v>
      </c>
      <c r="D10" s="32" t="inlineStr">
        <is>
          <t>Current rate from Azure pricing calculator</t>
        </is>
      </c>
    </row>
    <row r="11" ht="15" customHeight="1" s="20">
      <c r="B11" s="26" t="inlineStr">
        <is>
          <t>1-Year Reservation Discount</t>
        </is>
      </c>
      <c r="C11" s="33" t="n">
        <v>0.2</v>
      </c>
      <c r="D11" s="32" t="inlineStr">
        <is>
          <t>Discount percentage for annual commitment</t>
        </is>
      </c>
    </row>
    <row r="12" ht="15" customHeight="1" s="20">
      <c r="B12" s="26" t="inlineStr">
        <is>
          <t>3-Year Reservation Discount</t>
        </is>
      </c>
      <c r="C12" s="33" t="n">
        <v>0.4</v>
      </c>
      <c r="D12" s="32" t="inlineStr">
        <is>
          <t>Discount percentage for 3-year commitment</t>
        </is>
      </c>
    </row>
    <row r="15" ht="15" customHeight="1" s="20">
      <c r="B15" s="24" t="inlineStr">
        <is>
          <t>CAPACITY PLANNING PARAMETERS</t>
        </is>
      </c>
    </row>
    <row r="16" ht="15" customHeight="1" s="20">
      <c r="B16" s="25" t="inlineStr">
        <is>
          <t>Parameter</t>
        </is>
      </c>
      <c r="C16" s="25" t="inlineStr">
        <is>
          <t>Value</t>
        </is>
      </c>
      <c r="D16" s="25" t="inlineStr">
        <is>
          <t>Description</t>
        </is>
      </c>
    </row>
    <row r="17" ht="15" customHeight="1" s="20">
      <c r="B17" s="26" t="inlineStr">
        <is>
          <t>Target PTU Utilization %</t>
        </is>
      </c>
      <c r="C17" s="33" t="n">
        <v>0.85</v>
      </c>
      <c r="D17" s="26" t="inlineStr">
        <is>
          <t>Target utilization before spillover (0.80-0.95 recommended)</t>
        </is>
      </c>
    </row>
    <row r="18" ht="15" customHeight="1" s="20">
      <c r="B18" s="26" t="inlineStr">
        <is>
          <t>Buffer Percentage</t>
        </is>
      </c>
      <c r="C18" s="33" t="n">
        <v>0.15</v>
      </c>
      <c r="D18" s="26" t="inlineStr">
        <is>
          <t>Additional capacity buffer for variance</t>
        </is>
      </c>
    </row>
    <row r="19" ht="15" customHeight="1" s="20">
      <c r="B19" s="26" t="inlineStr">
        <is>
          <t>Peak Traffic Multiplier</t>
        </is>
      </c>
      <c r="C19" s="33" t="n">
        <v>1.2</v>
      </c>
      <c r="D19" s="26" t="inlineStr">
        <is>
          <t>Multiplier for expected peak vs average</t>
        </is>
      </c>
    </row>
    <row r="20" ht="15" customHeight="1" s="20">
      <c r="B20" s="26" t="inlineStr">
        <is>
          <t>Hours per Month</t>
        </is>
      </c>
      <c r="C20" s="33" t="n">
        <v>730</v>
      </c>
      <c r="D20" s="26" t="inlineStr">
        <is>
          <t>Standard hours for monthly calculations</t>
        </is>
      </c>
    </row>
    <row r="23" ht="15" customHeight="1" s="20">
      <c r="B23" s="24" t="inlineStr">
        <is>
          <t>PAYGO COMPARISON RATES (per 1M tokens)</t>
        </is>
      </c>
    </row>
    <row r="24" ht="15" customHeight="1" s="20">
      <c r="B24" s="25" t="inlineStr">
        <is>
          <t>Model/Type</t>
        </is>
      </c>
      <c r="C24" s="25" t="inlineStr">
        <is>
          <t>Rate ($)</t>
        </is>
      </c>
      <c r="D24" s="25" t="inlineStr">
        <is>
          <t>Description</t>
        </is>
      </c>
    </row>
    <row r="25" ht="15" customHeight="1" s="20">
      <c r="B25" s="26" t="inlineStr">
        <is>
          <t>GPT-4o Input</t>
        </is>
      </c>
      <c r="C25" s="33" t="n">
        <v>2.5</v>
      </c>
      <c r="D25" s="26" t="inlineStr">
        <is>
          <t>PAYGO rate per 1M input tokens</t>
        </is>
      </c>
    </row>
    <row r="26" ht="15" customHeight="1" s="20">
      <c r="B26" s="26" t="inlineStr">
        <is>
          <t>GPT-4o Output</t>
        </is>
      </c>
      <c r="C26" s="33" t="n">
        <v>10</v>
      </c>
      <c r="D26" s="26" t="inlineStr">
        <is>
          <t>PAYGO rate per 1M output tokens</t>
        </is>
      </c>
    </row>
    <row r="27" ht="15" customHeight="1" s="20">
      <c r="B27" s="26" t="inlineStr">
        <is>
          <t>GPT-4 Turbo Input</t>
        </is>
      </c>
      <c r="C27" s="33" t="n">
        <v>10</v>
      </c>
      <c r="D27" s="26" t="inlineStr">
        <is>
          <t>PAYGO rate per 1M input tokens</t>
        </is>
      </c>
    </row>
    <row r="28" ht="15" customHeight="1" s="20">
      <c r="B28" s="26" t="inlineStr">
        <is>
          <t>GPT-4 Turbo Output</t>
        </is>
      </c>
      <c r="C28" s="33" t="n">
        <v>30</v>
      </c>
      <c r="D28" s="26" t="inlineStr">
        <is>
          <t>PAYGO rate per 1M output tokens</t>
        </is>
      </c>
    </row>
    <row r="29" ht="15" customHeight="1" s="20">
      <c r="B29" s="26" t="inlineStr">
        <is>
          <t>GPT-3.5 Turbo Input</t>
        </is>
      </c>
      <c r="C29" s="33" t="n">
        <v>0.5</v>
      </c>
      <c r="D29" s="26" t="inlineStr">
        <is>
          <t>PAYGO rate per 1M input tokens</t>
        </is>
      </c>
    </row>
    <row r="30" ht="15" customHeight="1" s="20">
      <c r="B30" s="26" t="inlineStr">
        <is>
          <t>GPT-3.5 Turbo Output</t>
        </is>
      </c>
      <c r="C30" s="33" t="n">
        <v>1.5</v>
      </c>
      <c r="D30" s="26" t="inlineStr">
        <is>
          <t>PAYGO rate per 1M output tokens</t>
        </is>
      </c>
    </row>
    <row r="31">
      <c r="B31" s="19" t="inlineStr">
        <is>
          <t>gpt-4.1 Input</t>
        </is>
      </c>
      <c r="C31" s="19" t="n">
        <v>2</v>
      </c>
      <c r="D31" s="19" t="inlineStr">
        <is>
          <t>PAYGO rate per 1M input tokens</t>
        </is>
      </c>
    </row>
    <row r="32">
      <c r="B32" s="19" t="inlineStr">
        <is>
          <t>gpt-4.1 Output</t>
        </is>
      </c>
      <c r="C32" s="19" t="n">
        <v>8</v>
      </c>
      <c r="D32" s="19" t="inlineStr">
        <is>
          <t>PAYGO rate per 1M output tokens</t>
        </is>
      </c>
    </row>
    <row r="33">
      <c r="B33" s="19" t="inlineStr">
        <is>
          <t>gpt-4.1-mini Input</t>
        </is>
      </c>
      <c r="C33" s="19" t="n">
        <v>0.4</v>
      </c>
      <c r="D33" s="19" t="inlineStr">
        <is>
          <t>PAYGO rate per 1M input tokens</t>
        </is>
      </c>
    </row>
    <row r="34">
      <c r="B34" s="19" t="inlineStr">
        <is>
          <t>gpt-4.1-mini Output</t>
        </is>
      </c>
      <c r="C34" s="19" t="n">
        <v>1.6</v>
      </c>
      <c r="D34" s="19" t="inlineStr">
        <is>
          <t>PAYGO rate per 1M output tokens</t>
        </is>
      </c>
    </row>
    <row r="35">
      <c r="B35" s="19" t="inlineStr">
        <is>
          <t>gpt-5 Input</t>
        </is>
      </c>
      <c r="C35" s="19" t="n">
        <v>5</v>
      </c>
      <c r="D35" s="19" t="inlineStr">
        <is>
          <t>PAYGO rate per 1M input tokens</t>
        </is>
      </c>
    </row>
    <row r="36">
      <c r="B36" s="19" t="inlineStr">
        <is>
          <t>gpt-5 Output</t>
        </is>
      </c>
      <c r="C36" s="19" t="n">
        <v>15</v>
      </c>
      <c r="D36" s="19" t="inlineStr">
        <is>
          <t>PAYGO rate per 1M output tokens</t>
        </is>
      </c>
    </row>
    <row r="37">
      <c r="B37" s="19" t="inlineStr">
        <is>
          <t>DeepSeek-R1 Input</t>
        </is>
      </c>
      <c r="C37" s="19" t="n">
        <v>0.55</v>
      </c>
      <c r="D37" s="19" t="inlineStr">
        <is>
          <t>PAYGO rate per 1M input tokens</t>
        </is>
      </c>
    </row>
    <row r="38">
      <c r="B38" s="19" t="inlineStr">
        <is>
          <t>DeepSeek-R1 Output</t>
        </is>
      </c>
      <c r="C38" s="19" t="n">
        <v>2.19</v>
      </c>
      <c r="D38" s="19" t="inlineStr">
        <is>
          <t>PAYGO rate per 1M output tokens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25" customWidth="1" style="19" min="2" max="2"/>
    <col width="15" customWidth="1" style="19" min="3" max="8"/>
    <col width="20" customWidth="1" style="19" min="9" max="9"/>
    <col width="3" customWidth="1" style="19" min="10" max="10"/>
  </cols>
  <sheetData>
    <row r="2" ht="17.35" customHeight="1" s="20">
      <c r="B2" s="30" t="inlineStr">
        <is>
          <t>Workload Input Configuration</t>
        </is>
      </c>
    </row>
    <row r="3" ht="15" customHeight="1" s="20">
      <c r="B3" s="23" t="inlineStr">
        <is>
          <t>Enter your application workload details below. Blue cells are inputs.</t>
        </is>
      </c>
    </row>
    <row r="5" ht="15" customHeight="1" s="20">
      <c r="B5" s="24" t="inlineStr">
        <is>
          <t>APPLICATION WORKLOADS</t>
        </is>
      </c>
    </row>
    <row r="7" ht="15" customHeight="1" s="20">
      <c r="B7" s="25" t="inlineStr">
        <is>
          <t>Application Name</t>
        </is>
      </c>
      <c r="C7" s="25" t="inlineStr">
        <is>
          <t>Model</t>
        </is>
      </c>
      <c r="D7" s="25" t="inlineStr">
        <is>
          <t>Avg Input Tokens</t>
        </is>
      </c>
      <c r="E7" s="25" t="inlineStr">
        <is>
          <t>Avg Output Tokens</t>
        </is>
      </c>
      <c r="F7" s="25" t="inlineStr">
        <is>
          <t>Peak RPM</t>
        </is>
      </c>
      <c r="G7" s="25" t="inlineStr">
        <is>
          <t>Daily Hours</t>
        </is>
      </c>
      <c r="H7" s="25" t="inlineStr">
        <is>
          <t>Priority (1-3)</t>
        </is>
      </c>
      <c r="I7" s="25" t="inlineStr">
        <is>
          <t>Notes</t>
        </is>
      </c>
    </row>
    <row r="8" ht="15" customHeight="1" s="20">
      <c r="B8" s="34" t="inlineStr">
        <is>
          <t>Customer Chatbot</t>
        </is>
      </c>
      <c r="C8" s="31" t="inlineStr">
        <is>
          <t>GPT-4o</t>
        </is>
      </c>
      <c r="D8" s="31" t="n">
        <v>800</v>
      </c>
      <c r="E8" s="31" t="n">
        <v>400</v>
      </c>
      <c r="F8" s="31" t="n">
        <v>100</v>
      </c>
      <c r="G8" s="31" t="n">
        <v>16</v>
      </c>
      <c r="H8" s="31" t="n">
        <v>1</v>
      </c>
      <c r="I8" s="34" t="inlineStr">
        <is>
          <t>Production chatbot</t>
        </is>
      </c>
    </row>
    <row r="9" ht="15" customHeight="1" s="20">
      <c r="B9" s="34" t="inlineStr">
        <is>
          <t>Internal Copilot</t>
        </is>
      </c>
      <c r="C9" s="31" t="inlineStr">
        <is>
          <t>GPT-4o</t>
        </is>
      </c>
      <c r="D9" s="31" t="n">
        <v>1200</v>
      </c>
      <c r="E9" s="31" t="n">
        <v>600</v>
      </c>
      <c r="F9" s="31" t="n">
        <v>50</v>
      </c>
      <c r="G9" s="31" t="n">
        <v>10</v>
      </c>
      <c r="H9" s="31" t="n">
        <v>2</v>
      </c>
      <c r="I9" s="34" t="inlineStr">
        <is>
          <t>Employee assistant</t>
        </is>
      </c>
    </row>
    <row r="10" ht="15" customHeight="1" s="20">
      <c r="B10" s="34" t="inlineStr">
        <is>
          <t>Document Summarizer</t>
        </is>
      </c>
      <c r="C10" s="31" t="inlineStr">
        <is>
          <t>GPT-4 Turbo</t>
        </is>
      </c>
      <c r="D10" s="31" t="n">
        <v>4000</v>
      </c>
      <c r="E10" s="31" t="n">
        <v>1000</v>
      </c>
      <c r="F10" s="31" t="n">
        <v>20</v>
      </c>
      <c r="G10" s="31" t="n">
        <v>8</v>
      </c>
      <c r="H10" s="31" t="n">
        <v>2</v>
      </c>
      <c r="I10" s="34" t="inlineStr">
        <is>
          <t>Legal docs</t>
        </is>
      </c>
    </row>
    <row r="11" ht="15" customHeight="1" s="20">
      <c r="B11" s="34" t="inlineStr">
        <is>
          <t>Code Assistant</t>
        </is>
      </c>
      <c r="C11" s="31" t="inlineStr">
        <is>
          <t>GPT-4o</t>
        </is>
      </c>
      <c r="D11" s="31" t="n">
        <v>2000</v>
      </c>
      <c r="E11" s="31" t="n">
        <v>1500</v>
      </c>
      <c r="F11" s="31" t="n">
        <v>30</v>
      </c>
      <c r="G11" s="31" t="n">
        <v>12</v>
      </c>
      <c r="H11" s="31" t="n">
        <v>1</v>
      </c>
      <c r="I11" s="34" t="inlineStr">
        <is>
          <t>Dev team</t>
        </is>
      </c>
    </row>
    <row r="12" ht="15" customHeight="1" s="20">
      <c r="B12" s="31" t="n"/>
      <c r="C12" s="31" t="n"/>
      <c r="D12" s="31" t="n"/>
      <c r="E12" s="31" t="n"/>
      <c r="F12" s="31" t="n"/>
      <c r="G12" s="31" t="n"/>
      <c r="H12" s="31" t="n"/>
      <c r="I12" s="31" t="n"/>
    </row>
    <row r="13" ht="15" customHeight="1" s="20"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 ht="15" customHeight="1" s="20">
      <c r="B14" s="31" t="n"/>
      <c r="C14" s="31" t="n"/>
      <c r="D14" s="31" t="n"/>
      <c r="E14" s="31" t="n"/>
      <c r="F14" s="31" t="n"/>
      <c r="G14" s="31" t="n"/>
      <c r="H14" s="31" t="n"/>
      <c r="I14" s="31" t="n"/>
    </row>
    <row r="15" ht="15" customHeight="1" s="20">
      <c r="B15" s="31" t="n"/>
      <c r="C15" s="31" t="n"/>
      <c r="D15" s="31" t="n"/>
      <c r="E15" s="31" t="n"/>
      <c r="F15" s="31" t="n"/>
      <c r="G15" s="31" t="n"/>
      <c r="H15" s="31" t="n"/>
      <c r="I15" s="31" t="n"/>
    </row>
    <row r="16" ht="15" customHeight="1" s="20">
      <c r="B16" s="31" t="n"/>
      <c r="C16" s="31" t="n"/>
      <c r="D16" s="31" t="n"/>
      <c r="E16" s="31" t="n"/>
      <c r="F16" s="31" t="n"/>
      <c r="G16" s="31" t="n"/>
      <c r="H16" s="31" t="n"/>
      <c r="I16" s="31" t="n"/>
    </row>
    <row r="17" ht="15" customHeight="1" s="20">
      <c r="B17" s="31" t="n"/>
      <c r="C17" s="31" t="n"/>
      <c r="D17" s="31" t="n"/>
      <c r="E17" s="31" t="n"/>
      <c r="F17" s="31" t="n"/>
      <c r="G17" s="31" t="n"/>
      <c r="H17" s="31" t="n"/>
      <c r="I17" s="31" t="n"/>
    </row>
    <row r="18" ht="15" customHeight="1" s="20"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 ht="15" customHeight="1" s="20"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 ht="15" customHeight="1" s="20">
      <c r="B20" s="31" t="n"/>
      <c r="C20" s="31" t="n"/>
      <c r="D20" s="31" t="n"/>
      <c r="E20" s="31" t="n"/>
      <c r="F20" s="31" t="n"/>
      <c r="G20" s="31" t="n"/>
      <c r="H20" s="31" t="n"/>
      <c r="I20" s="31" t="n"/>
    </row>
    <row r="21" ht="15" customHeight="1" s="20"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 ht="15" customHeight="1" s="20">
      <c r="B22" s="31" t="n"/>
      <c r="C22" s="31" t="n"/>
      <c r="D22" s="31" t="n"/>
      <c r="E22" s="31" t="n"/>
      <c r="F22" s="31" t="n"/>
      <c r="G22" s="31" t="n"/>
      <c r="H22" s="31" t="n"/>
      <c r="I22" s="31" t="n"/>
    </row>
    <row r="23" ht="15" customHeight="1" s="20"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 ht="15" customHeight="1" s="20">
      <c r="B24" s="31" t="n"/>
      <c r="C24" s="31" t="n"/>
      <c r="D24" s="31" t="n"/>
      <c r="E24" s="31" t="n"/>
      <c r="F24" s="31" t="n"/>
      <c r="G24" s="31" t="n"/>
      <c r="H24" s="31" t="n"/>
      <c r="I24" s="31" t="n"/>
    </row>
    <row r="25" ht="15" customHeight="1" s="20">
      <c r="B25" s="31" t="n"/>
      <c r="C25" s="31" t="n"/>
      <c r="D25" s="31" t="n"/>
      <c r="E25" s="31" t="n"/>
      <c r="F25" s="31" t="n"/>
      <c r="G25" s="31" t="n"/>
      <c r="H25" s="31" t="n"/>
      <c r="I25" s="31" t="n"/>
    </row>
    <row r="26" ht="15" customHeight="1" s="20">
      <c r="B26" s="31" t="n"/>
      <c r="C26" s="31" t="n"/>
      <c r="D26" s="31" t="n"/>
      <c r="E26" s="31" t="n"/>
      <c r="F26" s="31" t="n"/>
      <c r="G26" s="31" t="n"/>
      <c r="H26" s="31" t="n"/>
      <c r="I26" s="31" t="n"/>
    </row>
    <row r="27" ht="15" customHeight="1" s="20">
      <c r="B27" s="31" t="n"/>
      <c r="C27" s="31" t="n"/>
      <c r="D27" s="31" t="n"/>
      <c r="E27" s="31" t="n"/>
      <c r="F27" s="31" t="n"/>
      <c r="G27" s="31" t="n"/>
      <c r="H27" s="31" t="n"/>
      <c r="I27" s="31" t="n"/>
    </row>
    <row r="30" ht="15" customHeight="1" s="20">
      <c r="B30" s="24" t="inlineStr">
        <is>
          <t>CALCULATED METRICS (Do not edit)</t>
        </is>
      </c>
    </row>
    <row r="31" ht="15" customHeight="1" s="20">
      <c r="B31" s="25" t="inlineStr">
        <is>
          <t>Application</t>
        </is>
      </c>
      <c r="C31" s="25" t="inlineStr">
        <is>
          <t>Input TPM</t>
        </is>
      </c>
      <c r="D31" s="25" t="inlineStr">
        <is>
          <t>Output TPM</t>
        </is>
      </c>
      <c r="E31" s="25" t="inlineStr">
        <is>
          <t>Total TPM</t>
        </is>
      </c>
      <c r="F31" s="25" t="inlineStr">
        <is>
          <t>Est. PTUs</t>
        </is>
      </c>
    </row>
    <row r="32" ht="15" customHeight="1" s="20">
      <c r="B32" s="27">
        <f>B8</f>
        <v/>
      </c>
      <c r="C32" s="35">
        <f>IF(B8&lt;&gt;"",D8*F8,"")</f>
        <v/>
      </c>
      <c r="D32" s="35">
        <f>IF(B8&lt;&gt;"",E8*F8,"")</f>
        <v/>
      </c>
      <c r="E32" s="35">
        <f>IF(B8&lt;&gt;"",C32+D32,"")</f>
        <v/>
      </c>
      <c r="F32" s="35">
        <f>IF(B8&lt;&gt;"",IFERROR(E32/'PTU Rates'!$C$7,0),"")</f>
        <v/>
      </c>
    </row>
    <row r="33" ht="15" customHeight="1" s="20">
      <c r="B33" s="27">
        <f>B9</f>
        <v/>
      </c>
      <c r="C33" s="35">
        <f>IF(B9&lt;&gt;"",D9*F9,"")</f>
        <v/>
      </c>
      <c r="D33" s="35">
        <f>IF(B9&lt;&gt;"",E9*F9,"")</f>
        <v/>
      </c>
      <c r="E33" s="35">
        <f>IF(B9&lt;&gt;"",C33+D33,"")</f>
        <v/>
      </c>
      <c r="F33" s="35">
        <f>IF(B9&lt;&gt;"",IFERROR(E33/'PTU Rates'!$C$7,0),"")</f>
        <v/>
      </c>
    </row>
    <row r="34" ht="15" customHeight="1" s="20">
      <c r="B34" s="27">
        <f>B10</f>
        <v/>
      </c>
      <c r="C34" s="35">
        <f>IF(B10&lt;&gt;"",D10*F10,"")</f>
        <v/>
      </c>
      <c r="D34" s="35">
        <f>IF(B10&lt;&gt;"",E10*F10,"")</f>
        <v/>
      </c>
      <c r="E34" s="35">
        <f>IF(B10&lt;&gt;"",C34+D34,"")</f>
        <v/>
      </c>
      <c r="F34" s="35">
        <f>IF(B10&lt;&gt;"",IFERROR(E34/'PTU Rates'!$C$7,0),"")</f>
        <v/>
      </c>
    </row>
    <row r="35" ht="15" customHeight="1" s="20">
      <c r="B35" s="27">
        <f>B11</f>
        <v/>
      </c>
      <c r="C35" s="35">
        <f>IF(B11&lt;&gt;"",D11*F11,"")</f>
        <v/>
      </c>
      <c r="D35" s="35">
        <f>IF(B11&lt;&gt;"",E11*F11,"")</f>
        <v/>
      </c>
      <c r="E35" s="35">
        <f>IF(B11&lt;&gt;"",C35+D35,"")</f>
        <v/>
      </c>
      <c r="F35" s="35">
        <f>IF(B11&lt;&gt;"",IFERROR(E35/'PTU Rates'!$C$7,0),"")</f>
        <v/>
      </c>
    </row>
    <row r="36" ht="15" customHeight="1" s="20">
      <c r="B36" s="27">
        <f>B12</f>
        <v/>
      </c>
      <c r="C36" s="35">
        <f>IF(B12&lt;&gt;"",D12*F12,"")</f>
        <v/>
      </c>
      <c r="D36" s="35">
        <f>IF(B12&lt;&gt;"",E12*F12,"")</f>
        <v/>
      </c>
      <c r="E36" s="35">
        <f>IF(B12&lt;&gt;"",C36+D36,"")</f>
        <v/>
      </c>
      <c r="F36" s="35">
        <f>IF(B12&lt;&gt;"",IFERROR(E36/'PTU Rates'!$C$7,0),"")</f>
        <v/>
      </c>
    </row>
    <row r="37" ht="15" customHeight="1" s="20">
      <c r="B37" s="27">
        <f>B13</f>
        <v/>
      </c>
      <c r="C37" s="35">
        <f>IF(B13&lt;&gt;"",D13*F13,"")</f>
        <v/>
      </c>
      <c r="D37" s="35">
        <f>IF(B13&lt;&gt;"",E13*F13,"")</f>
        <v/>
      </c>
      <c r="E37" s="35">
        <f>IF(B13&lt;&gt;"",C37+D37,"")</f>
        <v/>
      </c>
      <c r="F37" s="35">
        <f>IF(B13&lt;&gt;"",IFERROR(E37/'PTU Rates'!$C$7,0),"")</f>
        <v/>
      </c>
    </row>
    <row r="38" ht="15" customHeight="1" s="20">
      <c r="B38" s="27">
        <f>B14</f>
        <v/>
      </c>
      <c r="C38" s="35">
        <f>IF(B14&lt;&gt;"",D14*F14,"")</f>
        <v/>
      </c>
      <c r="D38" s="35">
        <f>IF(B14&lt;&gt;"",E14*F14,"")</f>
        <v/>
      </c>
      <c r="E38" s="35">
        <f>IF(B14&lt;&gt;"",C38+D38,"")</f>
        <v/>
      </c>
      <c r="F38" s="35">
        <f>IF(B14&lt;&gt;"",IFERROR(E38/'PTU Rates'!$C$7,0),"")</f>
        <v/>
      </c>
    </row>
    <row r="39" ht="15" customHeight="1" s="20">
      <c r="B39" s="27">
        <f>B15</f>
        <v/>
      </c>
      <c r="C39" s="35">
        <f>IF(B15&lt;&gt;"",D15*F15,"")</f>
        <v/>
      </c>
      <c r="D39" s="35">
        <f>IF(B15&lt;&gt;"",E15*F15,"")</f>
        <v/>
      </c>
      <c r="E39" s="35">
        <f>IF(B15&lt;&gt;"",C39+D39,"")</f>
        <v/>
      </c>
      <c r="F39" s="35">
        <f>IF(B15&lt;&gt;"",IFERROR(E39/'PTU Rates'!$C$7,0),"")</f>
        <v/>
      </c>
    </row>
    <row r="40" ht="15" customHeight="1" s="20">
      <c r="B40" s="27">
        <f>B16</f>
        <v/>
      </c>
      <c r="C40" s="35">
        <f>IF(B16&lt;&gt;"",D16*F16,"")</f>
        <v/>
      </c>
      <c r="D40" s="35">
        <f>IF(B16&lt;&gt;"",E16*F16,"")</f>
        <v/>
      </c>
      <c r="E40" s="35">
        <f>IF(B16&lt;&gt;"",C40+D40,"")</f>
        <v/>
      </c>
      <c r="F40" s="35">
        <f>IF(B16&lt;&gt;"",IFERROR(E40/'PTU Rates'!$C$7,0),"")</f>
        <v/>
      </c>
    </row>
    <row r="41" ht="15" customHeight="1" s="20">
      <c r="B41" s="27">
        <f>B17</f>
        <v/>
      </c>
      <c r="C41" s="35">
        <f>IF(B17&lt;&gt;"",D17*F17,"")</f>
        <v/>
      </c>
      <c r="D41" s="35">
        <f>IF(B17&lt;&gt;"",E17*F17,"")</f>
        <v/>
      </c>
      <c r="E41" s="35">
        <f>IF(B17&lt;&gt;"",C41+D41,"")</f>
        <v/>
      </c>
      <c r="F41" s="35">
        <f>IF(B17&lt;&gt;"",IFERROR(E41/'PTU Rates'!$C$7,0),"")</f>
        <v/>
      </c>
    </row>
    <row r="42" ht="15" customHeight="1" s="20">
      <c r="B42" s="27">
        <f>B18</f>
        <v/>
      </c>
      <c r="C42" s="35">
        <f>IF(B18&lt;&gt;"",D18*F18,"")</f>
        <v/>
      </c>
      <c r="D42" s="35">
        <f>IF(B18&lt;&gt;"",E18*F18,"")</f>
        <v/>
      </c>
      <c r="E42" s="35">
        <f>IF(B18&lt;&gt;"",C42+D42,"")</f>
        <v/>
      </c>
      <c r="F42" s="35">
        <f>IF(B18&lt;&gt;"",IFERROR(E42/'PTU Rates'!$C$7,0),"")</f>
        <v/>
      </c>
    </row>
    <row r="43" ht="15" customHeight="1" s="20">
      <c r="B43" s="27">
        <f>B19</f>
        <v/>
      </c>
      <c r="C43" s="35">
        <f>IF(B19&lt;&gt;"",D19*F19,"")</f>
        <v/>
      </c>
      <c r="D43" s="35">
        <f>IF(B19&lt;&gt;"",E19*F19,"")</f>
        <v/>
      </c>
      <c r="E43" s="35">
        <f>IF(B19&lt;&gt;"",C43+D43,"")</f>
        <v/>
      </c>
      <c r="F43" s="35">
        <f>IF(B19&lt;&gt;"",IFERROR(E43/'PTU Rates'!$C$7,0),"")</f>
        <v/>
      </c>
    </row>
    <row r="44" ht="15" customHeight="1" s="20">
      <c r="B44" s="27">
        <f>B20</f>
        <v/>
      </c>
      <c r="C44" s="35">
        <f>IF(B20&lt;&gt;"",D20*F20,"")</f>
        <v/>
      </c>
      <c r="D44" s="35">
        <f>IF(B20&lt;&gt;"",E20*F20,"")</f>
        <v/>
      </c>
      <c r="E44" s="35">
        <f>IF(B20&lt;&gt;"",C44+D44,"")</f>
        <v/>
      </c>
      <c r="F44" s="35">
        <f>IF(B20&lt;&gt;"",IFERROR(E44/'PTU Rates'!$C$7,0),"")</f>
        <v/>
      </c>
    </row>
    <row r="45" ht="15" customHeight="1" s="20">
      <c r="B45" s="27">
        <f>B21</f>
        <v/>
      </c>
      <c r="C45" s="35">
        <f>IF(B21&lt;&gt;"",D21*F21,"")</f>
        <v/>
      </c>
      <c r="D45" s="35">
        <f>IF(B21&lt;&gt;"",E21*F21,"")</f>
        <v/>
      </c>
      <c r="E45" s="35">
        <f>IF(B21&lt;&gt;"",C45+D45,"")</f>
        <v/>
      </c>
      <c r="F45" s="35">
        <f>IF(B21&lt;&gt;"",IFERROR(E45/'PTU Rates'!$C$7,0),"")</f>
        <v/>
      </c>
    </row>
    <row r="46" ht="15" customHeight="1" s="20">
      <c r="B46" s="27">
        <f>B22</f>
        <v/>
      </c>
      <c r="C46" s="35">
        <f>IF(B22&lt;&gt;"",D22*F22,"")</f>
        <v/>
      </c>
      <c r="D46" s="35">
        <f>IF(B22&lt;&gt;"",E22*F22,"")</f>
        <v/>
      </c>
      <c r="E46" s="35">
        <f>IF(B22&lt;&gt;"",C46+D46,"")</f>
        <v/>
      </c>
      <c r="F46" s="35">
        <f>IF(B22&lt;&gt;"",IFERROR(E46/'PTU Rates'!$C$7,0),"")</f>
        <v/>
      </c>
    </row>
    <row r="47" ht="15" customHeight="1" s="20">
      <c r="B47" s="27">
        <f>B23</f>
        <v/>
      </c>
      <c r="C47" s="35">
        <f>IF(B23&lt;&gt;"",D23*F23,"")</f>
        <v/>
      </c>
      <c r="D47" s="35">
        <f>IF(B23&lt;&gt;"",E23*F23,"")</f>
        <v/>
      </c>
      <c r="E47" s="35">
        <f>IF(B23&lt;&gt;"",C47+D47,"")</f>
        <v/>
      </c>
      <c r="F47" s="35">
        <f>IF(B23&lt;&gt;"",IFERROR(E47/'PTU Rates'!$C$7,0),"")</f>
        <v/>
      </c>
    </row>
    <row r="48" ht="15" customHeight="1" s="20">
      <c r="B48" s="27">
        <f>B24</f>
        <v/>
      </c>
      <c r="C48" s="35">
        <f>IF(B24&lt;&gt;"",D24*F24,"")</f>
        <v/>
      </c>
      <c r="D48" s="35">
        <f>IF(B24&lt;&gt;"",E24*F24,"")</f>
        <v/>
      </c>
      <c r="E48" s="35">
        <f>IF(B24&lt;&gt;"",C48+D48,"")</f>
        <v/>
      </c>
      <c r="F48" s="35">
        <f>IF(B24&lt;&gt;"",IFERROR(E48/'PTU Rates'!$C$7,0),"")</f>
        <v/>
      </c>
    </row>
    <row r="49" ht="15" customHeight="1" s="20">
      <c r="B49" s="27">
        <f>B25</f>
        <v/>
      </c>
      <c r="C49" s="35">
        <f>IF(B25&lt;&gt;"",D25*F25,"")</f>
        <v/>
      </c>
      <c r="D49" s="35">
        <f>IF(B25&lt;&gt;"",E25*F25,"")</f>
        <v/>
      </c>
      <c r="E49" s="35">
        <f>IF(B25&lt;&gt;"",C49+D49,"")</f>
        <v/>
      </c>
      <c r="F49" s="35">
        <f>IF(B25&lt;&gt;"",IFERROR(E49/'PTU Rates'!$C$7,0),"")</f>
        <v/>
      </c>
    </row>
    <row r="50" ht="15" customHeight="1" s="20">
      <c r="B50" s="27">
        <f>B26</f>
        <v/>
      </c>
      <c r="C50" s="35">
        <f>IF(B26&lt;&gt;"",D26*F26,"")</f>
        <v/>
      </c>
      <c r="D50" s="35">
        <f>IF(B26&lt;&gt;"",E26*F26,"")</f>
        <v/>
      </c>
      <c r="E50" s="35">
        <f>IF(B26&lt;&gt;"",C50+D50,"")</f>
        <v/>
      </c>
      <c r="F50" s="35">
        <f>IF(B26&lt;&gt;"",IFERROR(E50/'PTU Rates'!$C$7,0),"")</f>
        <v/>
      </c>
    </row>
    <row r="51" ht="15" customHeight="1" s="20">
      <c r="B51" s="27">
        <f>B27</f>
        <v/>
      </c>
      <c r="C51" s="35">
        <f>IF(B27&lt;&gt;"",D27*F27,"")</f>
        <v/>
      </c>
      <c r="D51" s="35">
        <f>IF(B27&lt;&gt;"",E27*F27,"")</f>
        <v/>
      </c>
      <c r="E51" s="35">
        <f>IF(B27&lt;&gt;"",C51+D51,"")</f>
        <v/>
      </c>
      <c r="F51" s="35">
        <f>IF(B27&lt;&gt;"",IFERROR(E51/'PTU Rates'!$C$7,0),"")</f>
        <v/>
      </c>
    </row>
    <row r="53" ht="15" customHeight="1" s="20">
      <c r="B53" s="36" t="inlineStr">
        <is>
          <t>TOTALS</t>
        </is>
      </c>
      <c r="C53" s="37">
        <f>SUMIF(C32:C51,"&gt;0")</f>
        <v/>
      </c>
      <c r="D53" s="37">
        <f>SUMIF(D32:D51,"&gt;0")</f>
        <v/>
      </c>
      <c r="E53" s="37">
        <f>SUMIF(E32:E51,"&gt;0")</f>
        <v/>
      </c>
      <c r="F53" s="37">
        <f>SUMIF(F32:F51,"&gt;0")</f>
        <v/>
      </c>
    </row>
  </sheetData>
  <dataValidations count="2">
    <dataValidation sqref="C8:C27" showDropDown="0" showInputMessage="0" showErrorMessage="0" allowBlank="1" errorTitle="Invalid Model" error="Please select a valid model" type="list" errorStyle="stop" operator="between">
      <formula1>"GPT-4o,GPT-4 Turbo,GPT-3.5 Turbo,GPT-4o-mini,o1,o1-mini"</formula1>
      <formula2>0</formula2>
    </dataValidation>
    <dataValidation sqref="H8:H27" showDropDown="0" showInputMessage="0" showErrorMessage="0" allowBlank="1" error="Priority must be 1, 2, or 3" type="whole" errorStyle="stop" operator="between">
      <formula1>1</formula1>
      <formula2>3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25" customWidth="1" style="19" min="2" max="2"/>
    <col width="20" customWidth="1" style="19" min="3" max="5"/>
    <col width="30" customWidth="1" style="19" min="6" max="6"/>
    <col width="12" customWidth="1" style="19" min="7" max="7"/>
  </cols>
  <sheetData>
    <row r="2" ht="17.35" customHeight="1" s="20">
      <c r="B2" s="30" t="inlineStr">
        <is>
          <t>PTU Conversion Rates</t>
        </is>
      </c>
    </row>
    <row r="3" ht="15" customHeight="1" s="20">
      <c r="B3" s="23" t="inlineStr">
        <is>
          <t>Update these rates quarterly from Microsoft's official calculator</t>
        </is>
      </c>
    </row>
    <row r="5" ht="15" customHeight="1" s="20">
      <c r="B5" s="24" t="inlineStr">
        <is>
          <t>MODEL-SPECIFIC RATES</t>
        </is>
      </c>
    </row>
    <row r="6" ht="15" customHeight="1" s="20">
      <c r="B6" s="25" t="inlineStr">
        <is>
          <t>Model</t>
        </is>
      </c>
      <c r="C6" s="25" t="inlineStr">
        <is>
          <t>TPM per PTU (Combined)</t>
        </is>
      </c>
      <c r="D6" s="25" t="inlineStr">
        <is>
          <t>Input TPM/PTU</t>
        </is>
      </c>
      <c r="E6" s="25" t="inlineStr">
        <is>
          <t>Output TPM/PTU</t>
        </is>
      </c>
      <c r="F6" s="25" t="inlineStr">
        <is>
          <t>Last Updated</t>
        </is>
      </c>
      <c r="G6" s="38" t="inlineStr">
        <is>
          <t>Output Ratio</t>
        </is>
      </c>
    </row>
    <row r="7" ht="15" customHeight="1" s="20">
      <c r="B7" s="39" t="inlineStr">
        <is>
          <t>gpt-5.2</t>
        </is>
      </c>
      <c r="C7" s="33" t="n">
        <v>3400</v>
      </c>
      <c r="D7" s="33" t="n">
        <v>3400</v>
      </c>
      <c r="E7" s="33" t="n">
        <v>425</v>
      </c>
      <c r="F7" s="26" t="inlineStr">
        <is>
          <t>Feb 2026</t>
        </is>
      </c>
      <c r="G7" s="19" t="inlineStr">
        <is>
          <t>8:1</t>
        </is>
      </c>
    </row>
    <row r="8" ht="15" customHeight="1" s="20">
      <c r="B8" s="39" t="inlineStr">
        <is>
          <t>gpt-5</t>
        </is>
      </c>
      <c r="C8" s="33" t="n">
        <v>4750</v>
      </c>
      <c r="D8" s="33" t="n">
        <v>4750</v>
      </c>
      <c r="E8" s="33" t="n">
        <v>594</v>
      </c>
      <c r="F8" s="26" t="inlineStr">
        <is>
          <t>Feb 2026</t>
        </is>
      </c>
      <c r="G8" s="19" t="inlineStr">
        <is>
          <t>8:1</t>
        </is>
      </c>
    </row>
    <row r="9" ht="15" customHeight="1" s="20">
      <c r="B9" s="39" t="inlineStr">
        <is>
          <t>gpt-5-mini</t>
        </is>
      </c>
      <c r="C9" s="33" t="n">
        <v>23750</v>
      </c>
      <c r="D9" s="33" t="n">
        <v>23750</v>
      </c>
      <c r="E9" s="33" t="n">
        <v>2969</v>
      </c>
      <c r="F9" s="26" t="inlineStr">
        <is>
          <t>Feb 2026</t>
        </is>
      </c>
      <c r="G9" s="19" t="inlineStr">
        <is>
          <t>8:1</t>
        </is>
      </c>
    </row>
    <row r="10" ht="15" customHeight="1" s="20">
      <c r="B10" s="39" t="inlineStr">
        <is>
          <t>gpt-4.1</t>
        </is>
      </c>
      <c r="C10" s="33" t="n">
        <v>3000</v>
      </c>
      <c r="D10" s="33" t="n">
        <v>3000</v>
      </c>
      <c r="E10" s="33" t="n">
        <v>750</v>
      </c>
      <c r="F10" s="26" t="inlineStr">
        <is>
          <t>Feb 2026</t>
        </is>
      </c>
      <c r="G10" s="19" t="inlineStr">
        <is>
          <t>4:1</t>
        </is>
      </c>
    </row>
    <row r="11" ht="15" customHeight="1" s="20">
      <c r="B11" s="39" t="inlineStr">
        <is>
          <t>gpt-4.1-mini</t>
        </is>
      </c>
      <c r="C11" s="33" t="n">
        <v>14900</v>
      </c>
      <c r="D11" s="33" t="n">
        <v>14900</v>
      </c>
      <c r="E11" s="33" t="n">
        <v>3725</v>
      </c>
      <c r="F11" s="26" t="inlineStr">
        <is>
          <t>Feb 2026</t>
        </is>
      </c>
      <c r="G11" s="19" t="inlineStr">
        <is>
          <t>4:1</t>
        </is>
      </c>
    </row>
    <row r="12" ht="15" customHeight="1" s="20">
      <c r="B12" s="39" t="inlineStr">
        <is>
          <t>gpt-4.1-nano</t>
        </is>
      </c>
      <c r="C12" s="33" t="n">
        <v>59400</v>
      </c>
      <c r="D12" s="33" t="n">
        <v>59400</v>
      </c>
      <c r="E12" s="33" t="n">
        <v>14850</v>
      </c>
      <c r="F12" s="26" t="inlineStr">
        <is>
          <t>Feb 2026</t>
        </is>
      </c>
      <c r="G12" s="19" t="inlineStr">
        <is>
          <t>4:1</t>
        </is>
      </c>
    </row>
    <row r="13" ht="15" customHeight="1" s="20">
      <c r="B13" s="26" t="inlineStr">
        <is>
          <t>GPT-4o</t>
        </is>
      </c>
      <c r="C13" s="33" t="n">
        <v>2500</v>
      </c>
      <c r="D13" s="33" t="n">
        <v>2500</v>
      </c>
      <c r="E13" s="33" t="n">
        <v>833</v>
      </c>
      <c r="F13" s="26" t="inlineStr">
        <is>
          <t>Feb 2026</t>
        </is>
      </c>
      <c r="G13" s="19" t="inlineStr">
        <is>
          <t>separate</t>
        </is>
      </c>
    </row>
    <row r="14">
      <c r="B14" s="19" t="inlineStr">
        <is>
          <t>GPT-4o-mini</t>
        </is>
      </c>
      <c r="C14" s="19" t="n">
        <v>37000</v>
      </c>
      <c r="D14" s="19" t="n">
        <v>37000</v>
      </c>
      <c r="E14" s="19" t="n">
        <v>12333</v>
      </c>
      <c r="F14" s="19" t="inlineStr">
        <is>
          <t>Feb 2026</t>
        </is>
      </c>
      <c r="G14" s="19" t="inlineStr">
        <is>
          <t>separate</t>
        </is>
      </c>
    </row>
    <row r="15">
      <c r="B15" s="19" t="inlineStr">
        <is>
          <t>GPT-4 Turbo</t>
        </is>
      </c>
      <c r="C15" s="19" t="n">
        <v>1200</v>
      </c>
      <c r="D15" s="19" t="n">
        <v>1200</v>
      </c>
      <c r="E15" s="19" t="n">
        <v>400</v>
      </c>
      <c r="F15" s="19" t="inlineStr">
        <is>
          <t>Feb 2026</t>
        </is>
      </c>
      <c r="G15" s="19" t="inlineStr">
        <is>
          <t>legacy</t>
        </is>
      </c>
    </row>
    <row r="16" ht="15" customHeight="1" s="20">
      <c r="B16" s="24" t="inlineStr">
        <is>
          <t>GPT-4</t>
        </is>
      </c>
      <c r="C16" t="n">
        <v>800</v>
      </c>
      <c r="D16" t="n">
        <v>800</v>
      </c>
      <c r="E16" t="n">
        <v>267</v>
      </c>
      <c r="F16" t="inlineStr">
        <is>
          <t>Feb 2026</t>
        </is>
      </c>
      <c r="G16" s="19" t="inlineStr">
        <is>
          <t>legacy</t>
        </is>
      </c>
    </row>
    <row r="17" ht="15" customHeight="1" s="20">
      <c r="B17" s="25" t="inlineStr">
        <is>
          <t>GPT-3.5 Turbo</t>
        </is>
      </c>
      <c r="C17" s="25" t="n">
        <v>10000</v>
      </c>
      <c r="D17" s="25" t="n">
        <v>10000</v>
      </c>
      <c r="E17" s="25" t="n">
        <v>3333</v>
      </c>
      <c r="F17" t="inlineStr">
        <is>
          <t>Feb 2026</t>
        </is>
      </c>
      <c r="G17" s="19" t="inlineStr">
        <is>
          <t>legacy</t>
        </is>
      </c>
    </row>
    <row r="18" ht="15" customHeight="1" s="20">
      <c r="B18" s="26" t="inlineStr">
        <is>
          <t>o1</t>
        </is>
      </c>
      <c r="C18" s="31" t="n">
        <v>500</v>
      </c>
      <c r="D18" s="31" t="n">
        <v>500</v>
      </c>
      <c r="E18" s="26" t="n">
        <v>167</v>
      </c>
      <c r="F18" t="inlineStr">
        <is>
          <t>Feb 2026</t>
        </is>
      </c>
      <c r="G18" s="19" t="inlineStr">
        <is>
          <t>separate</t>
        </is>
      </c>
    </row>
    <row r="19" ht="15" customHeight="1" s="20">
      <c r="B19" s="26" t="inlineStr">
        <is>
          <t>o1-mini</t>
        </is>
      </c>
      <c r="C19" s="31" t="n">
        <v>2000</v>
      </c>
      <c r="D19" s="31" t="n">
        <v>2000</v>
      </c>
      <c r="E19" s="26" t="n">
        <v>667</v>
      </c>
      <c r="F19" t="inlineStr">
        <is>
          <t>Feb 2026</t>
        </is>
      </c>
      <c r="G19" s="19" t="inlineStr">
        <is>
          <t>separate</t>
        </is>
      </c>
    </row>
    <row r="20" ht="15" customHeight="1" s="20">
      <c r="B20" s="39" t="inlineStr">
        <is>
          <t>o3</t>
        </is>
      </c>
      <c r="C20" s="31" t="n">
        <v>400</v>
      </c>
      <c r="D20" s="31" t="n">
        <v>400</v>
      </c>
      <c r="E20" s="26" t="n">
        <v>50</v>
      </c>
      <c r="F20" t="inlineStr">
        <is>
          <t>Feb 2026</t>
        </is>
      </c>
      <c r="G20" s="19" t="inlineStr">
        <is>
          <t>8:1</t>
        </is>
      </c>
    </row>
    <row r="21">
      <c r="B21" t="inlineStr">
        <is>
          <t>o3-mini</t>
        </is>
      </c>
      <c r="C21" t="n">
        <v>1600</v>
      </c>
      <c r="D21" t="n">
        <v>1600</v>
      </c>
      <c r="E21" t="n">
        <v>200</v>
      </c>
      <c r="F21" t="inlineStr">
        <is>
          <t>Feb 2026</t>
        </is>
      </c>
      <c r="G21" t="inlineStr">
        <is>
          <t>8:1</t>
        </is>
      </c>
    </row>
    <row r="22">
      <c r="B22" t="inlineStr">
        <is>
          <t>o4-mini</t>
        </is>
      </c>
      <c r="C22" t="n">
        <v>1800</v>
      </c>
      <c r="D22" t="n">
        <v>1800</v>
      </c>
      <c r="E22" t="n">
        <v>225</v>
      </c>
      <c r="F22" t="inlineStr">
        <is>
          <t>Feb 2026</t>
        </is>
      </c>
      <c r="G22" t="inlineStr">
        <is>
          <t>8:1</t>
        </is>
      </c>
    </row>
    <row r="23" ht="15" customHeight="1" s="20">
      <c r="B23" s="40" t="n"/>
      <c r="G23" t="inlineStr">
        <is>
          <t>4:1</t>
        </is>
      </c>
    </row>
    <row r="24" ht="15" customHeight="1" s="20">
      <c r="B24" s="40" t="n"/>
      <c r="C24" s="38" t="n"/>
      <c r="D24" s="38" t="n"/>
      <c r="E24" s="38" t="n"/>
    </row>
    <row r="25" ht="15" customHeight="1" s="20">
      <c r="B25" s="19" t="n"/>
      <c r="C25" s="19" t="n"/>
      <c r="D25" s="19" t="n"/>
      <c r="E25" s="19" t="n"/>
    </row>
    <row r="26" ht="15" customHeight="1" s="20">
      <c r="B26" s="40" t="inlineStr">
        <is>
          <t>MINIMUM PTU INCREMENTS</t>
        </is>
      </c>
      <c r="C26" s="19" t="n">
        <v>50</v>
      </c>
      <c r="D26" s="19" t="n">
        <v>50</v>
      </c>
      <c r="E26" s="19" t="inlineStr">
        <is>
          <t>Higher minimum, regional data residency</t>
        </is>
      </c>
    </row>
    <row r="27" ht="15" customHeight="1" s="20">
      <c r="B27" s="40" t="inlineStr">
        <is>
          <t>Deployment Type</t>
        </is>
      </c>
      <c r="C27" s="40" t="inlineStr">
        <is>
          <t>Minimum PTUs</t>
        </is>
      </c>
      <c r="D27" s="40" t="inlineStr">
        <is>
          <t>Increment Size</t>
        </is>
      </c>
      <c r="E27" s="40" t="inlineStr">
        <is>
          <t>Notes</t>
        </is>
      </c>
    </row>
    <row r="28">
      <c r="B28" t="inlineStr">
        <is>
          <t>Global Provisioned</t>
        </is>
      </c>
      <c r="C28" t="n">
        <v>15</v>
      </c>
      <c r="D28" t="n">
        <v>5</v>
      </c>
      <c r="E28" t="inlineStr">
        <is>
          <t>Lowest minimum for cost-effective testing</t>
        </is>
      </c>
    </row>
    <row r="29">
      <c r="B29" s="38" t="n"/>
      <c r="C29" t="n">
        <v>50</v>
      </c>
      <c r="D29" t="n">
        <v>50</v>
      </c>
      <c r="E29" t="inlineStr">
        <is>
          <t>Higher minimum, regional data residency</t>
        </is>
      </c>
    </row>
    <row r="30">
      <c r="B30" s="19" t="n"/>
      <c r="C30" t="n">
        <v>100</v>
      </c>
      <c r="D30" t="n">
        <v>100</v>
      </c>
      <c r="E30" t="inlineStr">
        <is>
          <t>Highest minimum, strict data sovereignty</t>
        </is>
      </c>
    </row>
    <row r="31">
      <c r="B31" s="19" t="n"/>
    </row>
    <row r="32">
      <c r="B32" s="40" t="inlineStr">
        <is>
          <t>RATE CALCULATION NOTES</t>
        </is>
      </c>
    </row>
    <row r="33">
      <c r="B33" t="inlineStr">
        <is>
          <t>• For gpt-5/o3/o4 series: 1 output token = 8 input tokens (8:1 ratio)</t>
        </is>
      </c>
    </row>
    <row r="34">
      <c r="B34" t="inlineStr">
        <is>
          <t>• For gpt-4.1 series: 1 output token = 4 input tokens (4:1 ratio)</t>
        </is>
      </c>
    </row>
    <row r="35">
      <c r="B35" t="inlineStr">
        <is>
          <t>• For GPT-4o/o1: Input and Output TPM calculated separately</t>
        </is>
      </c>
    </row>
    <row r="36">
      <c r="B36" t="inlineStr">
        <is>
          <t>• Legacy models (GPT-4, GPT-3.5): Use combined TPM calculation</t>
        </is>
      </c>
    </row>
    <row r="37">
      <c r="B37" t="inlineStr">
        <is>
          <t>• Always validate against: https://oai.azure.com/portal/calculator</t>
        </is>
      </c>
    </row>
    <row r="38">
      <c r="B38" t="inlineStr">
        <is>
          <t>• Rates verified from Microsoft docs - Feb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30" customWidth="1" style="19" min="2" max="2"/>
    <col width="18" customWidth="1" style="19" min="3" max="5"/>
    <col width="25" customWidth="1" style="19" min="6" max="6"/>
    <col width="3" customWidth="1" style="19" min="7" max="7"/>
  </cols>
  <sheetData>
    <row r="2" ht="17.35" customHeight="1" s="20">
      <c r="B2" s="30" t="inlineStr">
        <is>
          <t>PTU Capacity Summary</t>
        </is>
      </c>
    </row>
    <row r="4" ht="15" customHeight="1" s="20">
      <c r="B4" s="24" t="inlineStr">
        <is>
          <t>CAPACITY CALCULATION</t>
        </is>
      </c>
    </row>
    <row r="5" ht="15" customHeight="1" s="20">
      <c r="B5" s="25" t="inlineStr">
        <is>
          <t>Metric</t>
        </is>
      </c>
      <c r="C5" s="25" t="inlineStr">
        <is>
          <t>Value</t>
        </is>
      </c>
      <c r="D5" s="25" t="inlineStr">
        <is>
          <t>Unit</t>
        </is>
      </c>
      <c r="E5" s="25" t="inlineStr">
        <is>
          <t>Notes</t>
        </is>
      </c>
    </row>
    <row r="6" ht="15" customHeight="1" s="20">
      <c r="B6" s="26" t="inlineStr">
        <is>
          <t>Total Input TPM</t>
        </is>
      </c>
      <c r="C6" s="27">
        <f>'Workload Inputs'!C53</f>
        <v/>
      </c>
      <c r="D6" s="26" t="inlineStr">
        <is>
          <t>tokens/min</t>
        </is>
      </c>
      <c r="E6" s="26" t="inlineStr">
        <is>
          <t>Sum of all application input TPM</t>
        </is>
      </c>
    </row>
    <row r="7" ht="15" customHeight="1" s="20">
      <c r="B7" s="26" t="inlineStr">
        <is>
          <t>Total Output TPM</t>
        </is>
      </c>
      <c r="C7" s="27">
        <f>'Workload Inputs'!D53</f>
        <v/>
      </c>
      <c r="D7" s="26" t="inlineStr">
        <is>
          <t>tokens/min</t>
        </is>
      </c>
      <c r="E7" s="26" t="inlineStr">
        <is>
          <t>Sum of all application output TPM</t>
        </is>
      </c>
    </row>
    <row r="8" ht="15" customHeight="1" s="20">
      <c r="B8" s="26" t="inlineStr">
        <is>
          <t>Total Combined TPM</t>
        </is>
      </c>
      <c r="C8" s="27">
        <f>'Workload Inputs'!E53</f>
        <v/>
      </c>
      <c r="D8" s="26" t="inlineStr">
        <is>
          <t>tokens/min</t>
        </is>
      </c>
      <c r="E8" s="26" t="inlineStr">
        <is>
          <t>Total throughput requirement</t>
        </is>
      </c>
    </row>
    <row r="9" ht="15" customHeight="1" s="20">
      <c r="B9" s="26" t="inlineStr">
        <is>
          <t>Base PTU Requirement</t>
        </is>
      </c>
      <c r="C9" s="27">
        <f>'Workload Inputs'!F53</f>
        <v/>
      </c>
      <c r="D9" s="26" t="inlineStr">
        <is>
          <t>PTUs</t>
        </is>
      </c>
      <c r="E9" s="26" t="inlineStr">
        <is>
          <t>Raw calculation before adjustments</t>
        </is>
      </c>
    </row>
    <row r="10" ht="15" customHeight="1" s="20">
      <c r="B10" s="26" t="inlineStr">
        <is>
          <t>Buffer Allocation</t>
        </is>
      </c>
      <c r="C10" s="27">
        <f>D8*Configuration!C18</f>
        <v/>
      </c>
      <c r="D10" s="26" t="inlineStr">
        <is>
          <t>PTUs</t>
        </is>
      </c>
      <c r="E10" s="26" t="inlineStr">
        <is>
          <t>Additional capacity for variance</t>
        </is>
      </c>
    </row>
    <row r="11" ht="15" customHeight="1" s="20">
      <c r="B11" s="26" t="inlineStr">
        <is>
          <t>Peak Traffic Adjustment</t>
        </is>
      </c>
      <c r="C11" s="27">
        <f>D8*Configuration!C19</f>
        <v/>
      </c>
      <c r="D11" s="26" t="inlineStr">
        <is>
          <t>PTUs</t>
        </is>
      </c>
      <c r="E11" s="26" t="inlineStr">
        <is>
          <t>Capacity for peak periods</t>
        </is>
      </c>
    </row>
    <row r="12" ht="15" customHeight="1" s="20">
      <c r="B12" s="26" t="n"/>
      <c r="C12" s="26" t="n"/>
      <c r="D12" s="26" t="n"/>
      <c r="E12" s="26" t="n"/>
    </row>
    <row r="13" ht="15" customHeight="1" s="20">
      <c r="B13" s="26" t="inlineStr">
        <is>
          <t>Subtotal PTUs</t>
        </is>
      </c>
      <c r="C13" s="35">
        <f>D8+D9+D10</f>
        <v/>
      </c>
      <c r="D13" s="26" t="inlineStr">
        <is>
          <t>PTUs</t>
        </is>
      </c>
      <c r="E13" s="26" t="inlineStr">
        <is>
          <t>Total before rounding</t>
        </is>
      </c>
    </row>
    <row r="14" ht="15" customHeight="1" s="20">
      <c r="B14" s="26" t="inlineStr">
        <is>
          <t>Minimum Increment</t>
        </is>
      </c>
      <c r="C14" s="27">
        <f>'PTU Rates'!C18</f>
        <v/>
      </c>
      <c r="D14" s="26" t="inlineStr">
        <is>
          <t>PTUs</t>
        </is>
      </c>
      <c r="E14" s="26" t="inlineStr">
        <is>
          <t>Based on deployment type</t>
        </is>
      </c>
    </row>
    <row r="15" ht="15" customHeight="1" s="20">
      <c r="B15" s="26" t="n"/>
      <c r="C15" s="26" t="n"/>
      <c r="D15" s="26" t="n"/>
      <c r="E15" s="26" t="n"/>
    </row>
    <row r="16" ht="15" customHeight="1" s="20">
      <c r="B16" s="41" t="inlineStr">
        <is>
          <t>TOTAL PTUs REQUIRED</t>
        </is>
      </c>
      <c r="C16" s="35">
        <f>CEILING(D12,D13)</f>
        <v/>
      </c>
      <c r="D16" s="26" t="inlineStr">
        <is>
          <t>PTUs</t>
        </is>
      </c>
      <c r="E16" s="26" t="inlineStr">
        <is>
          <t>Final rounded PTU requirement</t>
        </is>
      </c>
    </row>
    <row r="20" ht="15" customHeight="1" s="20">
      <c r="B20" s="24" t="inlineStr">
        <is>
          <t>UTILIZATION PROJECTIONS</t>
        </is>
      </c>
    </row>
    <row r="21" ht="15" customHeight="1" s="20">
      <c r="B21" s="25" t="inlineStr">
        <is>
          <t>Scenario</t>
        </is>
      </c>
      <c r="C21" s="25" t="inlineStr">
        <is>
          <t>PTUs Deployed</t>
        </is>
      </c>
      <c r="D21" s="25" t="inlineStr">
        <is>
          <t>Expected Utilization</t>
        </is>
      </c>
      <c r="E21" s="25" t="inlineStr">
        <is>
          <t>Spillover %</t>
        </is>
      </c>
      <c r="F21" s="25" t="inlineStr">
        <is>
          <t>Monthly Hours</t>
        </is>
      </c>
    </row>
    <row r="22" ht="15" customHeight="1" s="20">
      <c r="B22" s="26" t="inlineStr">
        <is>
          <t>Conservative (100% PTU)</t>
        </is>
      </c>
      <c r="C22" s="35">
        <f>D15</f>
        <v/>
      </c>
      <c r="D22" s="35">
        <f>Configuration!C17</f>
        <v/>
      </c>
      <c r="E22" s="26" t="inlineStr">
        <is>
          <t>0%</t>
        </is>
      </c>
      <c r="F22" s="26" t="n">
        <v>730</v>
      </c>
    </row>
    <row r="23" ht="15" customHeight="1" s="20">
      <c r="B23" s="26" t="inlineStr">
        <is>
          <t>Balanced (90% PTU)</t>
        </is>
      </c>
      <c r="C23" s="35">
        <f>ROUND(D15*0.9,0)</f>
        <v/>
      </c>
      <c r="D23" s="35">
        <f>Configuration!C17/0.9</f>
        <v/>
      </c>
      <c r="E23" s="26" t="inlineStr">
        <is>
          <t>10%</t>
        </is>
      </c>
      <c r="F23" s="26" t="n">
        <v>730</v>
      </c>
    </row>
    <row r="24" ht="15" customHeight="1" s="20">
      <c r="B24" s="26" t="inlineStr">
        <is>
          <t>Aggressive (80% PTU)</t>
        </is>
      </c>
      <c r="C24" s="35">
        <f>ROUND(D15*0.8,0)</f>
        <v/>
      </c>
      <c r="D24" s="35">
        <f>Configuration!C17/0.8</f>
        <v/>
      </c>
      <c r="E24" s="26" t="inlineStr">
        <is>
          <t>20%</t>
        </is>
      </c>
      <c r="F24" s="26" t="n">
        <v>730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35" customWidth="1" style="19" min="2" max="2"/>
    <col width="18" customWidth="1" style="19" min="3" max="5"/>
    <col width="3" customWidth="1" style="19" min="6" max="6"/>
  </cols>
  <sheetData>
    <row r="2" ht="17.35" customHeight="1" s="20">
      <c r="B2" s="30" t="inlineStr">
        <is>
          <t>Cost Analysis &amp; Comparison</t>
        </is>
      </c>
    </row>
    <row r="4" ht="15" customHeight="1" s="20">
      <c r="B4" s="24" t="inlineStr">
        <is>
          <t>PTU COST CALCULATIONS</t>
        </is>
      </c>
    </row>
    <row r="5" ht="15" customHeight="1" s="20">
      <c r="B5" s="25" t="inlineStr">
        <is>
          <t>Metric</t>
        </is>
      </c>
      <c r="C5" s="25" t="inlineStr">
        <is>
          <t>Value</t>
        </is>
      </c>
      <c r="D5" s="25" t="inlineStr">
        <is>
          <t>Unit</t>
        </is>
      </c>
    </row>
    <row r="6" ht="15" customHeight="1" s="20">
      <c r="B6" s="26" t="inlineStr">
        <is>
          <t>PTUs Required</t>
        </is>
      </c>
      <c r="C6" s="27">
        <f>'Capacity Summary'!D15</f>
        <v/>
      </c>
      <c r="D6" s="26" t="inlineStr">
        <is>
          <t>PTUs</t>
        </is>
      </c>
    </row>
    <row r="7" ht="15" customHeight="1" s="20">
      <c r="B7" s="26" t="inlineStr">
        <is>
          <t>Hourly Rate</t>
        </is>
      </c>
      <c r="C7" s="27">
        <f>Configuration!C10</f>
        <v/>
      </c>
      <c r="D7" s="26" t="inlineStr">
        <is>
          <t>$/PTU/hr</t>
        </is>
      </c>
    </row>
    <row r="8" ht="15" customHeight="1" s="20">
      <c r="B8" s="26" t="n"/>
      <c r="C8" s="26" t="n"/>
      <c r="D8" s="26" t="n"/>
    </row>
    <row r="9" ht="15" customHeight="1" s="20">
      <c r="B9" s="26" t="inlineStr">
        <is>
          <t>Monthly Cost (Hourly Billing)</t>
        </is>
      </c>
      <c r="C9" s="35">
        <f>D5*D6*730</f>
        <v/>
      </c>
      <c r="D9" s="26" t="inlineStr">
        <is>
          <t>USD</t>
        </is>
      </c>
    </row>
    <row r="10" ht="15" customHeight="1" s="20">
      <c r="B10" s="26" t="inlineStr">
        <is>
          <t>Annual Cost (Hourly Billing)</t>
        </is>
      </c>
      <c r="C10" s="35">
        <f>D8*12</f>
        <v/>
      </c>
      <c r="D10" s="26" t="inlineStr">
        <is>
          <t>USD</t>
        </is>
      </c>
    </row>
    <row r="11" ht="15" customHeight="1" s="20">
      <c r="B11" s="26" t="n"/>
      <c r="C11" s="26" t="n"/>
      <c r="D11" s="26" t="n"/>
    </row>
    <row r="12" ht="15" customHeight="1" s="20">
      <c r="B12" s="26" t="inlineStr">
        <is>
          <t>1-Year Reserved Monthly</t>
        </is>
      </c>
      <c r="C12" s="27">
        <f>D8*(1-Configuration!C11)</f>
        <v/>
      </c>
      <c r="D12" s="26" t="inlineStr">
        <is>
          <t>USD</t>
        </is>
      </c>
    </row>
    <row r="13" ht="15" customHeight="1" s="20">
      <c r="B13" s="26" t="inlineStr">
        <is>
          <t>1-Year Reserved Annual</t>
        </is>
      </c>
      <c r="C13" s="35">
        <f>D12*12</f>
        <v/>
      </c>
      <c r="D13" s="26" t="inlineStr">
        <is>
          <t>USD</t>
        </is>
      </c>
    </row>
    <row r="14" ht="15" customHeight="1" s="20">
      <c r="B14" s="26" t="n"/>
      <c r="C14" s="26" t="n"/>
      <c r="D14" s="26" t="n"/>
    </row>
    <row r="15" ht="15" customHeight="1" s="20">
      <c r="B15" s="26" t="inlineStr">
        <is>
          <t>3-Year Reserved Monthly</t>
        </is>
      </c>
      <c r="C15" s="27">
        <f>D8*(1-Configuration!C12)</f>
        <v/>
      </c>
      <c r="D15" s="26" t="inlineStr">
        <is>
          <t>USD</t>
        </is>
      </c>
    </row>
    <row r="16" ht="15" customHeight="1" s="20">
      <c r="B16" s="26" t="inlineStr">
        <is>
          <t>3-Year Reserved Annual</t>
        </is>
      </c>
      <c r="C16" s="35">
        <f>D15*12</f>
        <v/>
      </c>
      <c r="D16" s="26" t="inlineStr">
        <is>
          <t>USD</t>
        </is>
      </c>
    </row>
    <row r="17" ht="15" customHeight="1" s="20">
      <c r="B17" s="26" t="n"/>
      <c r="C17" s="26" t="n"/>
      <c r="D17" s="26" t="n"/>
    </row>
    <row r="18" ht="15" customHeight="1" s="20">
      <c r="B18" s="26" t="inlineStr">
        <is>
          <t>Annual Savings (1-Year)</t>
        </is>
      </c>
      <c r="C18" s="35">
        <f>D9-D13</f>
        <v/>
      </c>
      <c r="D18" s="26" t="inlineStr">
        <is>
          <t>USD</t>
        </is>
      </c>
    </row>
    <row r="19" ht="15" customHeight="1" s="20">
      <c r="B19" s="26" t="inlineStr">
        <is>
          <t>Annual Savings (3-Year)</t>
        </is>
      </c>
      <c r="C19" s="35">
        <f>D9-D16</f>
        <v/>
      </c>
      <c r="D19" s="26" t="inlineStr">
        <is>
          <t>USD</t>
        </is>
      </c>
    </row>
    <row r="23" ht="15" customHeight="1" s="20">
      <c r="B23" s="24" t="inlineStr">
        <is>
          <t>PAYGO COMPARISON</t>
        </is>
      </c>
    </row>
    <row r="24" ht="15" customHeight="1" s="20">
      <c r="B24" s="25" t="inlineStr">
        <is>
          <t>Metric</t>
        </is>
      </c>
      <c r="C24" s="25" t="inlineStr">
        <is>
          <t>Value</t>
        </is>
      </c>
      <c r="D24" s="25" t="inlineStr">
        <is>
          <t>Unit</t>
        </is>
      </c>
    </row>
    <row r="25" ht="15" customHeight="1" s="20">
      <c r="B25" s="26" t="inlineStr">
        <is>
          <t>Total Monthly Tokens (Input)</t>
        </is>
      </c>
      <c r="C25" s="27">
        <f>'Workload Inputs'!C53*Configuration!C20*60</f>
        <v/>
      </c>
      <c r="D25" s="26" t="inlineStr">
        <is>
          <t>tokens</t>
        </is>
      </c>
    </row>
    <row r="26" ht="15" customHeight="1" s="20">
      <c r="B26" s="26" t="inlineStr">
        <is>
          <t>Total Monthly Tokens (Output)</t>
        </is>
      </c>
      <c r="C26" s="27">
        <f>'Workload Inputs'!D53*Configuration!C20*60</f>
        <v/>
      </c>
      <c r="D26" s="26" t="inlineStr">
        <is>
          <t>tokens</t>
        </is>
      </c>
    </row>
    <row r="27" ht="15" customHeight="1" s="20">
      <c r="B27" s="26" t="n"/>
      <c r="C27" s="26" t="n"/>
      <c r="D27" s="26" t="n"/>
    </row>
    <row r="28" ht="15" customHeight="1" s="20">
      <c r="B28" s="26" t="inlineStr">
        <is>
          <t>PAYGO Input Cost</t>
        </is>
      </c>
      <c r="C28" s="27">
        <f>D24/1000000*Configuration!C25</f>
        <v/>
      </c>
      <c r="D28" s="26" t="inlineStr">
        <is>
          <t>USD</t>
        </is>
      </c>
    </row>
    <row r="29" ht="15" customHeight="1" s="20">
      <c r="B29" s="26" t="inlineStr">
        <is>
          <t>PAYGO Output Cost</t>
        </is>
      </c>
      <c r="C29" s="27">
        <f>D25/1000000*Configuration!C26</f>
        <v/>
      </c>
      <c r="D29" s="26" t="inlineStr">
        <is>
          <t>USD</t>
        </is>
      </c>
    </row>
    <row r="30" ht="15" customHeight="1" s="20">
      <c r="B30" s="26" t="inlineStr">
        <is>
          <t>Total PAYGO Monthly Cost</t>
        </is>
      </c>
      <c r="C30" s="35">
        <f>D28+D29</f>
        <v/>
      </c>
      <c r="D30" s="26" t="inlineStr">
        <is>
          <t>USD</t>
        </is>
      </c>
    </row>
    <row r="31" ht="15" customHeight="1" s="20">
      <c r="B31" s="26" t="n"/>
      <c r="C31" s="26" t="n"/>
      <c r="D31" s="26" t="n"/>
    </row>
    <row r="32" ht="15" customHeight="1" s="20">
      <c r="B32" s="26" t="inlineStr">
        <is>
          <t>PTU vs PAYGO Difference</t>
        </is>
      </c>
      <c r="C32" s="35">
        <f>D8-D30</f>
        <v/>
      </c>
      <c r="D32" s="26" t="inlineStr">
        <is>
          <t>USD</t>
        </is>
      </c>
    </row>
    <row r="33" ht="15" customHeight="1" s="20">
      <c r="B33" s="26" t="inlineStr">
        <is>
          <t>PTU Savings %</t>
        </is>
      </c>
      <c r="C33" s="35">
        <f>IF(D30&gt;0,(D30-D8)/D30,0)</f>
        <v/>
      </c>
      <c r="D33" s="26" t="inlineStr">
        <is>
          <t>%</t>
        </is>
      </c>
    </row>
    <row r="37" ht="15" customHeight="1" s="20">
      <c r="B37" s="24" t="inlineStr">
        <is>
          <t>BREAK-EVEN ANALYSIS</t>
        </is>
      </c>
    </row>
    <row r="38" ht="15" customHeight="1" s="20">
      <c r="B38" s="19" t="inlineStr">
        <is>
          <t>Break-even TPM (Hourly)</t>
        </is>
      </c>
      <c r="C38" s="19">
        <f>D8/((Configuration!C25+Configuration!C26)/2)*1000000/Configuration!C20/60</f>
        <v/>
      </c>
      <c r="D38" s="19" t="inlineStr">
        <is>
          <t>TPM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H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35" customWidth="1" style="19" min="2" max="2"/>
    <col width="18" customWidth="1" style="19" min="3" max="5"/>
    <col width="25" customWidth="1" style="19" min="6" max="6"/>
    <col width="3" customWidth="1" style="19" min="7" max="7"/>
  </cols>
  <sheetData>
    <row r="2" ht="17.35" customHeight="1" s="20">
      <c r="B2" s="30" t="inlineStr">
        <is>
          <t>Spillover Strategy Planner</t>
        </is>
      </c>
    </row>
    <row r="3" ht="15" customHeight="1" s="20">
      <c r="B3" s="23" t="inlineStr">
        <is>
          <t>Configure hybrid PTU + PAYGO architecture for cost optimization</t>
        </is>
      </c>
    </row>
    <row r="5" ht="15" customHeight="1" s="20">
      <c r="B5" s="24" t="inlineStr">
        <is>
          <t>SPILLOVER CONFIGURATION</t>
        </is>
      </c>
    </row>
    <row r="6" ht="15" customHeight="1" s="20">
      <c r="B6" s="25" t="inlineStr">
        <is>
          <t>Parameter</t>
        </is>
      </c>
      <c r="C6" s="25" t="inlineStr">
        <is>
          <t>Value</t>
        </is>
      </c>
      <c r="D6" s="25" t="inlineStr">
        <is>
          <t>Description</t>
        </is>
      </c>
    </row>
    <row r="7" ht="15" customHeight="1" s="20">
      <c r="B7" s="26" t="inlineStr">
        <is>
          <t>Base PTU Allocation %</t>
        </is>
      </c>
      <c r="C7" s="33" t="n">
        <v>0.85</v>
      </c>
      <c r="D7" s="26" t="inlineStr">
        <is>
          <t>Portion of peak traffic handled by PTU</t>
        </is>
      </c>
    </row>
    <row r="8" ht="15" customHeight="1" s="20">
      <c r="B8" s="26" t="inlineStr">
        <is>
          <t>Expected Spillover %</t>
        </is>
      </c>
      <c r="C8" s="33" t="n">
        <v>0.15</v>
      </c>
      <c r="D8" s="26" t="inlineStr">
        <is>
          <t>Traffic expected to overflow to PAYGO</t>
        </is>
      </c>
    </row>
    <row r="9" ht="15" customHeight="1" s="20">
      <c r="B9" s="26" t="inlineStr">
        <is>
          <t>Spillover Latency Tolerance</t>
        </is>
      </c>
      <c r="C9" s="33" t="inlineStr">
        <is>
          <t>Acceptable</t>
        </is>
      </c>
      <c r="D9" s="26" t="inlineStr">
        <is>
          <t>Options: Low, Acceptable, High</t>
        </is>
      </c>
    </row>
    <row r="12" ht="15" customHeight="1" s="20">
      <c r="B12" s="24" t="inlineStr">
        <is>
          <t>SPILLOVER COST SCENARIOS</t>
        </is>
      </c>
    </row>
    <row r="13" ht="15" customHeight="1" s="20">
      <c r="B13" s="25" t="inlineStr">
        <is>
          <t>Scenario</t>
        </is>
      </c>
      <c r="C13" s="25" t="inlineStr">
        <is>
          <t>PTU %</t>
        </is>
      </c>
      <c r="D13" s="25" t="inlineStr">
        <is>
          <t>PTUs</t>
        </is>
      </c>
      <c r="E13" s="25" t="inlineStr">
        <is>
          <t>PTU Cost</t>
        </is>
      </c>
      <c r="F13" s="25" t="inlineStr">
        <is>
          <t>Spillover Cost</t>
        </is>
      </c>
      <c r="G13" s="25" t="inlineStr">
        <is>
          <t>Total Cost</t>
        </is>
      </c>
      <c r="H13" s="25" t="inlineStr">
        <is>
          <t>vs 100% PTU</t>
        </is>
      </c>
    </row>
    <row r="14" ht="15" customHeight="1" s="20">
      <c r="B14" s="26" t="inlineStr">
        <is>
          <t>100% PTU (No Spillover)</t>
        </is>
      </c>
      <c r="C14" s="26" t="n">
        <v>1</v>
      </c>
      <c r="D14" s="26">
        <f>CEILING('Capacity Summary'!D15*C14,'PTU Rates'!C18)</f>
        <v/>
      </c>
      <c r="E14" s="26">
        <f>D14*Configuration!C10*730</f>
        <v/>
      </c>
      <c r="F14" s="26">
        <f>(1-C14)*'Cost Analysis'!D30</f>
        <v/>
      </c>
      <c r="G14" s="26">
        <f>E14+F14</f>
        <v/>
      </c>
      <c r="H14" s="26">
        <f>G14-$G$14</f>
        <v/>
      </c>
    </row>
    <row r="15" ht="15" customHeight="1" s="20">
      <c r="B15" s="26" t="inlineStr">
        <is>
          <t>95% PTU / 5% Spillover</t>
        </is>
      </c>
      <c r="C15" s="26" t="n">
        <v>0.95</v>
      </c>
      <c r="D15" s="26">
        <f>CEILING('Capacity Summary'!D15*C15,'PTU Rates'!C18)</f>
        <v/>
      </c>
      <c r="E15" s="26">
        <f>D15*Configuration!C10*730</f>
        <v/>
      </c>
      <c r="F15" s="26">
        <f>(1-C15)*'Cost Analysis'!D30</f>
        <v/>
      </c>
      <c r="G15" s="26">
        <f>E15+F15</f>
        <v/>
      </c>
      <c r="H15" s="26">
        <f>G15-$G$14</f>
        <v/>
      </c>
    </row>
    <row r="16" ht="15" customHeight="1" s="20">
      <c r="B16" s="26" t="inlineStr">
        <is>
          <t>90% PTU / 10% Spillover</t>
        </is>
      </c>
      <c r="C16" s="26" t="n">
        <v>0.9</v>
      </c>
      <c r="D16" s="26">
        <f>CEILING('Capacity Summary'!D15*C16,'PTU Rates'!C18)</f>
        <v/>
      </c>
      <c r="E16" s="26">
        <f>D16*Configuration!C10*730</f>
        <v/>
      </c>
      <c r="F16" s="26">
        <f>(1-C16)*'Cost Analysis'!D30</f>
        <v/>
      </c>
      <c r="G16" s="26">
        <f>E16+F16</f>
        <v/>
      </c>
      <c r="H16" s="26">
        <f>G16-$G$14</f>
        <v/>
      </c>
    </row>
    <row r="17" ht="15" customHeight="1" s="20">
      <c r="B17" s="26" t="inlineStr">
        <is>
          <t>85% PTU / 15% Spillover</t>
        </is>
      </c>
      <c r="C17" s="26" t="n">
        <v>0.85</v>
      </c>
      <c r="D17" s="26">
        <f>CEILING('Capacity Summary'!D15*C17,'PTU Rates'!C18)</f>
        <v/>
      </c>
      <c r="E17" s="26">
        <f>D17*Configuration!C10*730</f>
        <v/>
      </c>
      <c r="F17" s="26">
        <f>(1-C17)*'Cost Analysis'!D30</f>
        <v/>
      </c>
      <c r="G17" s="26">
        <f>E17+F17</f>
        <v/>
      </c>
      <c r="H17" s="26">
        <f>G17-$G$14</f>
        <v/>
      </c>
    </row>
    <row r="18" ht="15" customHeight="1" s="20">
      <c r="B18" s="26" t="inlineStr">
        <is>
          <t>80% PTU / 20% Spillover</t>
        </is>
      </c>
      <c r="C18" s="26" t="n">
        <v>0.8</v>
      </c>
      <c r="D18" s="26">
        <f>CEILING('Capacity Summary'!D15*C18,'PTU Rates'!C18)</f>
        <v/>
      </c>
      <c r="E18" s="26">
        <f>D18*Configuration!C10*730</f>
        <v/>
      </c>
      <c r="F18" s="26">
        <f>(1-C18)*'Cost Analysis'!D30</f>
        <v/>
      </c>
      <c r="G18" s="26">
        <f>E18+F18</f>
        <v/>
      </c>
      <c r="H18" s="26">
        <f>G18-$G$14</f>
        <v/>
      </c>
    </row>
    <row r="19" ht="15" customHeight="1" s="20">
      <c r="B19" s="26" t="inlineStr">
        <is>
          <t>75% PTU / 25% Spillover</t>
        </is>
      </c>
      <c r="C19" s="26" t="n">
        <v>0.75</v>
      </c>
      <c r="D19" s="26">
        <f>CEILING('Capacity Summary'!D15*C19,'PTU Rates'!C18)</f>
        <v/>
      </c>
      <c r="E19" s="26">
        <f>D19*Configuration!C10*730</f>
        <v/>
      </c>
      <c r="F19" s="26">
        <f>(1-C19)*'Cost Analysis'!D30</f>
        <v/>
      </c>
      <c r="G19" s="26">
        <f>E19+F19</f>
        <v/>
      </c>
      <c r="H19" s="26">
        <f>G19-$G$14</f>
        <v/>
      </c>
    </row>
    <row r="22" ht="15" customHeight="1" s="20">
      <c r="B22" s="24" t="inlineStr">
        <is>
          <t>RECOMMENDATION</t>
        </is>
      </c>
    </row>
    <row r="23" ht="15" customHeight="1" s="20">
      <c r="B23" s="19" t="inlineStr">
        <is>
          <t>Optimal Spillover Configuration:</t>
        </is>
      </c>
      <c r="C23" s="19">
        <f>INDEX(B14:B19,MATCH(MIN(G14:G19),G14:G19,0))</f>
        <v/>
      </c>
    </row>
    <row r="25" ht="15" customHeight="1" s="20">
      <c r="B25" s="24" t="inlineStr">
        <is>
          <t>APIM CONFIGURATION NOTES</t>
        </is>
      </c>
    </row>
    <row r="26" ht="15" customHeight="1" s="20">
      <c r="B26" s="19" t="inlineStr">
        <is>
          <t>• Configure PTU endpoint as Priority 1 in APIM backend pool</t>
        </is>
      </c>
    </row>
    <row r="27" ht="15" customHeight="1" s="20">
      <c r="B27" s="19" t="inlineStr">
        <is>
          <t>• Configure same-region PAYGO as Priority 2 (spillover)</t>
        </is>
      </c>
    </row>
    <row r="28" ht="15" customHeight="1" s="20">
      <c r="B28" s="19" t="inlineStr">
        <is>
          <t>• Configure secondary region PAYGO as Priority 3 (DR)</t>
        </is>
      </c>
    </row>
    <row r="29" ht="15" customHeight="1" s="20">
      <c r="B29" s="19" t="inlineStr">
        <is>
          <t>• Enable circuit breaker to auto-failover on 429 errors</t>
        </is>
      </c>
    </row>
    <row r="30" ht="15" customHeight="1" s="20">
      <c r="B30" s="19" t="inlineStr">
        <is>
          <t>• Set retry policy with exponential backoff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30" customWidth="1" style="19" min="2" max="2"/>
    <col width="18" customWidth="1" style="19" min="3" max="6"/>
    <col width="3" customWidth="1" style="19" min="7" max="7"/>
  </cols>
  <sheetData>
    <row r="2" ht="17.35" customHeight="1" s="20">
      <c r="B2" s="30" t="inlineStr">
        <is>
          <t>Reservation Optimizer</t>
        </is>
      </c>
    </row>
    <row r="3" ht="15" customHeight="1" s="20">
      <c r="B3" s="23" t="inlineStr">
        <is>
          <t>Compare commitment terms and payment options</t>
        </is>
      </c>
    </row>
    <row r="5" ht="15" customHeight="1" s="20">
      <c r="B5" s="24" t="inlineStr">
        <is>
          <t>RESERVATION COMPARISON</t>
        </is>
      </c>
    </row>
    <row r="6" ht="15" customHeight="1" s="20">
      <c r="B6" s="25" t="inlineStr">
        <is>
          <t>Option</t>
        </is>
      </c>
      <c r="C6" s="25" t="inlineStr">
        <is>
          <t>Monthly Cost</t>
        </is>
      </c>
      <c r="D6" s="25" t="inlineStr">
        <is>
          <t>Annual Cost</t>
        </is>
      </c>
      <c r="E6" s="25" t="inlineStr">
        <is>
          <t>3-Year Total</t>
        </is>
      </c>
      <c r="F6" s="25" t="inlineStr">
        <is>
          <t>Savings vs Hourly</t>
        </is>
      </c>
    </row>
    <row r="7" ht="15" customHeight="1" s="20">
      <c r="B7" s="26" t="inlineStr">
        <is>
          <t>Hourly (No Commitment)</t>
        </is>
      </c>
      <c r="C7" s="26">
        <f>'Cost Analysis'!D8</f>
        <v/>
      </c>
      <c r="D7" s="26">
        <f>'Cost Analysis'!D9</f>
        <v/>
      </c>
      <c r="E7" s="26">
        <f>'Cost Analysis'!D9*3</f>
        <v/>
      </c>
      <c r="F7" s="26" t="n">
        <v>0</v>
      </c>
    </row>
    <row r="8" ht="15" customHeight="1" s="20">
      <c r="B8" s="26" t="inlineStr">
        <is>
          <t>1-Year Reservation</t>
        </is>
      </c>
      <c r="C8" s="26">
        <f>'Cost Analysis'!D12</f>
        <v/>
      </c>
      <c r="D8" s="26">
        <f>'Cost Analysis'!D13</f>
        <v/>
      </c>
      <c r="E8" s="26">
        <f>'Cost Analysis'!D13*3</f>
        <v/>
      </c>
      <c r="F8" s="26">
        <f>E7-E8</f>
        <v/>
      </c>
    </row>
    <row r="9" ht="15" customHeight="1" s="20">
      <c r="B9" s="26" t="inlineStr">
        <is>
          <t>3-Year Reservation</t>
        </is>
      </c>
      <c r="C9" s="26">
        <f>'Cost Analysis'!D15</f>
        <v/>
      </c>
      <c r="D9" s="26">
        <f>'Cost Analysis'!D16</f>
        <v/>
      </c>
      <c r="E9" s="26">
        <f>'Cost Analysis'!D16*3</f>
        <v/>
      </c>
      <c r="F9" s="26">
        <f>E7-E9</f>
        <v/>
      </c>
    </row>
    <row r="12" ht="15" customHeight="1" s="20">
      <c r="B12" s="24" t="inlineStr">
        <is>
          <t>BREAK-EVEN ANALYSIS</t>
        </is>
      </c>
    </row>
    <row r="13" ht="15" customHeight="1" s="20">
      <c r="B13" s="19" t="inlineStr">
        <is>
          <t>1-Year Break-Even (months)</t>
        </is>
      </c>
      <c r="C13" s="19">
        <f>IF(C7&gt;C8,12/(1-C8/C7),"N/A")</f>
        <v/>
      </c>
    </row>
    <row r="14" ht="15" customHeight="1" s="20">
      <c r="B14" s="19" t="inlineStr">
        <is>
          <t>3-Year Break-Even (months)</t>
        </is>
      </c>
      <c r="C14" s="19">
        <f>IF(C7&gt;C9,36/(1-C9/C7),"N/A")</f>
        <v/>
      </c>
    </row>
    <row r="17" ht="15" customHeight="1" s="20">
      <c r="B17" s="24" t="inlineStr">
        <is>
          <t>RECOMMENDATION LOGIC</t>
        </is>
      </c>
    </row>
    <row r="18" ht="15" customHeight="1" s="20">
      <c r="B18" s="19" t="inlineStr">
        <is>
          <t>• If workload duration &lt; 6 months: Use hourly billing</t>
        </is>
      </c>
    </row>
    <row r="19" ht="15" customHeight="1" s="20">
      <c r="B19" s="19" t="inlineStr">
        <is>
          <t>• If workload duration 6-18 months: Consider 1-year reservation</t>
        </is>
      </c>
    </row>
    <row r="20" ht="15" customHeight="1" s="20">
      <c r="B20" s="19" t="inlineStr">
        <is>
          <t>• If workload duration &gt; 18 months: 3-year reservation optimal</t>
        </is>
      </c>
    </row>
    <row r="21" ht="15" customHeight="1" s="20">
      <c r="B21" s="19" t="inlineStr">
        <is>
          <t>• Always deploy first, then purchase reservation</t>
        </is>
      </c>
    </row>
    <row r="22" ht="15" customHeight="1" s="20">
      <c r="B22" s="19" t="inlineStr">
        <is>
          <t>• Reservations can be exchanged (with fee) but not refunded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H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25" customWidth="1" style="19" min="2" max="2"/>
    <col width="15" customWidth="1" style="19" min="3" max="8"/>
    <col width="3" customWidth="1" style="19" min="9" max="9"/>
  </cols>
  <sheetData>
    <row r="2" ht="17.35" customHeight="1" s="20">
      <c r="B2" s="30" t="inlineStr">
        <is>
          <t>Cost Allocation &amp; Chargeback</t>
        </is>
      </c>
    </row>
    <row r="3" ht="15" customHeight="1" s="20">
      <c r="B3" s="23" t="inlineStr">
        <is>
          <t>Allocate PTU costs to consuming applications/business units</t>
        </is>
      </c>
    </row>
    <row r="5" ht="15" customHeight="1" s="20">
      <c r="B5" s="24" t="inlineStr">
        <is>
          <t>APPLICATION COST ALLOCATION</t>
        </is>
      </c>
    </row>
    <row r="6" ht="15" customHeight="1" s="20">
      <c r="B6" s="25" t="inlineStr">
        <is>
          <t>Application</t>
        </is>
      </c>
      <c r="C6" s="25" t="inlineStr">
        <is>
          <t>TPM Share %</t>
        </is>
      </c>
      <c r="D6" s="25" t="inlineStr">
        <is>
          <t>PTU Allocation</t>
        </is>
      </c>
      <c r="E6" s="25" t="inlineStr">
        <is>
          <t>Monthly Cost</t>
        </is>
      </c>
      <c r="F6" s="25" t="inlineStr">
        <is>
          <t>Annual Cost</t>
        </is>
      </c>
      <c r="G6" s="25" t="inlineStr">
        <is>
          <t>Cost Center</t>
        </is>
      </c>
      <c r="H6" s="25" t="inlineStr">
        <is>
          <t>Owner</t>
        </is>
      </c>
    </row>
    <row r="7" ht="15" customHeight="1" s="20">
      <c r="B7" s="26">
        <f>'Workload Inputs'!B8</f>
        <v/>
      </c>
      <c r="C7" s="26">
        <f>IFERROR('Workload Inputs'!E32/'Workload Inputs'!E53,0)</f>
        <v/>
      </c>
      <c r="D7" s="26">
        <f>C7*'Capacity Summary'!D15</f>
        <v/>
      </c>
      <c r="E7" s="26">
        <f>D7*Configuration!C10*730</f>
        <v/>
      </c>
      <c r="F7" s="26">
        <f>E7*12</f>
        <v/>
      </c>
      <c r="G7" s="31" t="n"/>
      <c r="H7" s="31" t="n"/>
    </row>
    <row r="8" ht="15" customHeight="1" s="20">
      <c r="B8" s="26">
        <f>'Workload Inputs'!B9</f>
        <v/>
      </c>
      <c r="C8" s="26">
        <f>IFERROR('Workload Inputs'!E33/'Workload Inputs'!E53,0)</f>
        <v/>
      </c>
      <c r="D8" s="26">
        <f>C8*'Capacity Summary'!D15</f>
        <v/>
      </c>
      <c r="E8" s="26">
        <f>D8*Configuration!C10*730</f>
        <v/>
      </c>
      <c r="F8" s="26">
        <f>E8*12</f>
        <v/>
      </c>
      <c r="G8" s="31" t="n"/>
      <c r="H8" s="31" t="n"/>
    </row>
    <row r="9" ht="15" customHeight="1" s="20">
      <c r="B9" s="26">
        <f>'Workload Inputs'!B10</f>
        <v/>
      </c>
      <c r="C9" s="26">
        <f>IFERROR('Workload Inputs'!E34/'Workload Inputs'!E53,0)</f>
        <v/>
      </c>
      <c r="D9" s="26">
        <f>C9*'Capacity Summary'!D15</f>
        <v/>
      </c>
      <c r="E9" s="26">
        <f>D9*Configuration!C10*730</f>
        <v/>
      </c>
      <c r="F9" s="26">
        <f>E9*12</f>
        <v/>
      </c>
      <c r="G9" s="31" t="n"/>
      <c r="H9" s="31" t="n"/>
    </row>
    <row r="10" ht="15" customHeight="1" s="20">
      <c r="B10" s="26">
        <f>'Workload Inputs'!B11</f>
        <v/>
      </c>
      <c r="C10" s="26">
        <f>IFERROR('Workload Inputs'!E35/'Workload Inputs'!E53,0)</f>
        <v/>
      </c>
      <c r="D10" s="26">
        <f>C10*'Capacity Summary'!D15</f>
        <v/>
      </c>
      <c r="E10" s="26">
        <f>D10*Configuration!C10*730</f>
        <v/>
      </c>
      <c r="F10" s="26">
        <f>E10*12</f>
        <v/>
      </c>
      <c r="G10" s="31" t="n"/>
      <c r="H10" s="31" t="n"/>
    </row>
    <row r="11" ht="15" customHeight="1" s="20">
      <c r="B11" s="26">
        <f>'Workload Inputs'!B12</f>
        <v/>
      </c>
      <c r="C11" s="26">
        <f>IFERROR('Workload Inputs'!E36/'Workload Inputs'!E53,0)</f>
        <v/>
      </c>
      <c r="D11" s="26">
        <f>C11*'Capacity Summary'!D15</f>
        <v/>
      </c>
      <c r="E11" s="26">
        <f>D11*Configuration!C10*730</f>
        <v/>
      </c>
      <c r="F11" s="26">
        <f>E11*12</f>
        <v/>
      </c>
      <c r="G11" s="31" t="n"/>
      <c r="H11" s="31" t="n"/>
    </row>
    <row r="12" ht="15" customHeight="1" s="20">
      <c r="B12" s="26">
        <f>'Workload Inputs'!B13</f>
        <v/>
      </c>
      <c r="C12" s="26">
        <f>IFERROR('Workload Inputs'!E37/'Workload Inputs'!E53,0)</f>
        <v/>
      </c>
      <c r="D12" s="26">
        <f>C12*'Capacity Summary'!D15</f>
        <v/>
      </c>
      <c r="E12" s="26">
        <f>D12*Configuration!C10*730</f>
        <v/>
      </c>
      <c r="F12" s="26">
        <f>E12*12</f>
        <v/>
      </c>
      <c r="G12" s="31" t="n"/>
      <c r="H12" s="31" t="n"/>
    </row>
    <row r="13" ht="15" customHeight="1" s="20">
      <c r="B13" s="26">
        <f>'Workload Inputs'!B14</f>
        <v/>
      </c>
      <c r="C13" s="26">
        <f>IFERROR('Workload Inputs'!E38/'Workload Inputs'!E53,0)</f>
        <v/>
      </c>
      <c r="D13" s="26">
        <f>C13*'Capacity Summary'!D15</f>
        <v/>
      </c>
      <c r="E13" s="26">
        <f>D13*Configuration!C10*730</f>
        <v/>
      </c>
      <c r="F13" s="26">
        <f>E13*12</f>
        <v/>
      </c>
      <c r="G13" s="31" t="n"/>
      <c r="H13" s="31" t="n"/>
    </row>
    <row r="14" ht="15" customHeight="1" s="20">
      <c r="B14" s="26">
        <f>'Workload Inputs'!B15</f>
        <v/>
      </c>
      <c r="C14" s="26">
        <f>IFERROR('Workload Inputs'!E39/'Workload Inputs'!E53,0)</f>
        <v/>
      </c>
      <c r="D14" s="26">
        <f>C14*'Capacity Summary'!D15</f>
        <v/>
      </c>
      <c r="E14" s="26">
        <f>D14*Configuration!C10*730</f>
        <v/>
      </c>
      <c r="F14" s="26">
        <f>E14*12</f>
        <v/>
      </c>
      <c r="G14" s="31" t="n"/>
      <c r="H14" s="31" t="n"/>
    </row>
    <row r="15" ht="15" customHeight="1" s="20">
      <c r="B15" s="26">
        <f>'Workload Inputs'!B16</f>
        <v/>
      </c>
      <c r="C15" s="26">
        <f>IFERROR('Workload Inputs'!E40/'Workload Inputs'!E53,0)</f>
        <v/>
      </c>
      <c r="D15" s="26">
        <f>C15*'Capacity Summary'!D15</f>
        <v/>
      </c>
      <c r="E15" s="26">
        <f>D15*Configuration!C10*730</f>
        <v/>
      </c>
      <c r="F15" s="26">
        <f>E15*12</f>
        <v/>
      </c>
      <c r="G15" s="31" t="n"/>
      <c r="H15" s="31" t="n"/>
    </row>
    <row r="16" ht="15" customHeight="1" s="20">
      <c r="B16" s="26">
        <f>'Workload Inputs'!B17</f>
        <v/>
      </c>
      <c r="C16" s="26">
        <f>IFERROR('Workload Inputs'!E41/'Workload Inputs'!E53,0)</f>
        <v/>
      </c>
      <c r="D16" s="26">
        <f>C16*'Capacity Summary'!D15</f>
        <v/>
      </c>
      <c r="E16" s="26">
        <f>D16*Configuration!C10*730</f>
        <v/>
      </c>
      <c r="F16" s="26">
        <f>E16*12</f>
        <v/>
      </c>
      <c r="G16" s="31" t="n"/>
      <c r="H16" s="31" t="n"/>
    </row>
    <row r="18" ht="15" customHeight="1" s="20">
      <c r="B18" s="36" t="inlineStr">
        <is>
          <t>TOTALS</t>
        </is>
      </c>
      <c r="C18" s="26">
        <f>SUM(C7:C16)</f>
        <v/>
      </c>
      <c r="D18" s="26">
        <f>SUM(D7:D16)</f>
        <v/>
      </c>
      <c r="E18" s="26">
        <f>SUM(E7:E16)</f>
        <v/>
      </c>
      <c r="F18" s="26">
        <f>SUM(F7:F16)</f>
        <v/>
      </c>
    </row>
    <row r="21" ht="15" customHeight="1" s="20">
      <c r="B21" s="24" t="inlineStr">
        <is>
          <t>CHARGEBACK NOTES</t>
        </is>
      </c>
    </row>
    <row r="22" ht="15" customHeight="1" s="20">
      <c r="B22" s="19" t="inlineStr">
        <is>
          <t>• Costs allocated proportionally based on TPM consumption</t>
        </is>
      </c>
    </row>
    <row r="23" ht="15" customHeight="1" s="20">
      <c r="B23" s="19" t="inlineStr">
        <is>
          <t>• Update Cost Center and Owner fields for your organization</t>
        </is>
      </c>
    </row>
    <row r="24" ht="15" customHeight="1" s="20">
      <c r="B24" s="19" t="inlineStr">
        <is>
          <t>• Export to finance systems via APIM subscription key metrics</t>
        </is>
      </c>
    </row>
    <row r="25" ht="15" customHeight="1" s="20">
      <c r="B25" s="19" t="inlineStr">
        <is>
          <t>• Consider adding buffer allocation to shared/overhead cost center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15" customWidth="1" style="19" min="2" max="2"/>
    <col width="20" customWidth="1" style="19" min="3" max="3"/>
    <col width="15" customWidth="1" style="19" min="4" max="8"/>
    <col width="25" customWidth="1" style="19" min="9" max="9"/>
    <col width="3" customWidth="1" style="19" min="10" max="10"/>
  </cols>
  <sheetData>
    <row r="2" ht="17.35" customHeight="1" s="20">
      <c r="B2" s="30" t="inlineStr">
        <is>
          <t>Benchmarking &amp; Validation Log</t>
        </is>
      </c>
    </row>
    <row r="3" ht="15" customHeight="1" s="20">
      <c r="B3" s="23" t="inlineStr">
        <is>
          <t>Track benchmark tests to validate calculator estimates</t>
        </is>
      </c>
    </row>
    <row r="5" ht="15" customHeight="1" s="20">
      <c r="B5" s="24" t="inlineStr">
        <is>
          <t>BENCHMARK RESULTS</t>
        </is>
      </c>
    </row>
    <row r="6" ht="15" customHeight="1" s="20">
      <c r="B6" s="25" t="inlineStr">
        <is>
          <t>Date</t>
        </is>
      </c>
      <c r="C6" s="25" t="inlineStr">
        <is>
          <t>Application</t>
        </is>
      </c>
      <c r="D6" s="25" t="inlineStr">
        <is>
          <t>PTUs Tested</t>
        </is>
      </c>
      <c r="E6" s="25" t="inlineStr">
        <is>
          <t>Actual RPM</t>
        </is>
      </c>
      <c r="F6" s="25" t="inlineStr">
        <is>
          <t>P95 Latency (ms)</t>
        </is>
      </c>
      <c r="G6" s="25" t="inlineStr">
        <is>
          <t>Utilization %</t>
        </is>
      </c>
      <c r="H6" s="25" t="inlineStr">
        <is>
          <t>429 Rate %</t>
        </is>
      </c>
      <c r="I6" s="25" t="inlineStr">
        <is>
          <t>Notes</t>
        </is>
      </c>
    </row>
    <row r="7" ht="15" customHeight="1" s="20"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15" customHeight="1" s="20"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15" customHeight="1" s="20"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15" customHeight="1" s="20"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15" customHeight="1" s="20"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15" customHeight="1" s="20">
      <c r="B12" s="31" t="n"/>
      <c r="C12" s="31" t="n"/>
      <c r="D12" s="31" t="n"/>
      <c r="E12" s="31" t="n"/>
      <c r="F12" s="31" t="n"/>
      <c r="G12" s="31" t="n"/>
      <c r="H12" s="31" t="n"/>
      <c r="I12" s="31" t="n"/>
    </row>
    <row r="13" ht="15" customHeight="1" s="20"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 ht="15" customHeight="1" s="20">
      <c r="B14" s="31" t="n"/>
      <c r="C14" s="31" t="n"/>
      <c r="D14" s="31" t="n"/>
      <c r="E14" s="31" t="n"/>
      <c r="F14" s="31" t="n"/>
      <c r="G14" s="31" t="n"/>
      <c r="H14" s="31" t="n"/>
      <c r="I14" s="31" t="n"/>
    </row>
    <row r="15" ht="15" customHeight="1" s="20">
      <c r="B15" s="31" t="n"/>
      <c r="C15" s="31" t="n"/>
      <c r="D15" s="31" t="n"/>
      <c r="E15" s="31" t="n"/>
      <c r="F15" s="31" t="n"/>
      <c r="G15" s="31" t="n"/>
      <c r="H15" s="31" t="n"/>
      <c r="I15" s="31" t="n"/>
    </row>
    <row r="16" ht="15" customHeight="1" s="20">
      <c r="B16" s="31" t="n"/>
      <c r="C16" s="31" t="n"/>
      <c r="D16" s="31" t="n"/>
      <c r="E16" s="31" t="n"/>
      <c r="F16" s="31" t="n"/>
      <c r="G16" s="31" t="n"/>
      <c r="H16" s="31" t="n"/>
      <c r="I16" s="31" t="n"/>
    </row>
    <row r="17" ht="15" customHeight="1" s="20">
      <c r="B17" s="31" t="n"/>
      <c r="C17" s="31" t="n"/>
      <c r="D17" s="31" t="n"/>
      <c r="E17" s="31" t="n"/>
      <c r="F17" s="31" t="n"/>
      <c r="G17" s="31" t="n"/>
      <c r="H17" s="31" t="n"/>
      <c r="I17" s="31" t="n"/>
    </row>
    <row r="18" ht="15" customHeight="1" s="20"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 ht="15" customHeight="1" s="20"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 ht="15" customHeight="1" s="20">
      <c r="B20" s="31" t="n"/>
      <c r="C20" s="31" t="n"/>
      <c r="D20" s="31" t="n"/>
      <c r="E20" s="31" t="n"/>
      <c r="F20" s="31" t="n"/>
      <c r="G20" s="31" t="n"/>
      <c r="H20" s="31" t="n"/>
      <c r="I20" s="31" t="n"/>
    </row>
    <row r="21" ht="15" customHeight="1" s="20"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4" ht="15" customHeight="1" s="20">
      <c r="B24" s="24" t="inlineStr">
        <is>
          <t>BENCHMARK GUIDANCE</t>
        </is>
      </c>
    </row>
    <row r="25" ht="15" customHeight="1" s="20">
      <c r="B25" s="19" t="inlineStr">
        <is>
          <t>• Use Azure OpenAI Benchmark tool: github.com/Azure/azure-openai-benchmark</t>
        </is>
      </c>
    </row>
    <row r="26" ht="15" customHeight="1" s="20">
      <c r="B26" s="19" t="inlineStr">
        <is>
          <t>• Test with representative prompts from actual application</t>
        </is>
      </c>
    </row>
    <row r="27" ht="15" customHeight="1" s="20">
      <c r="B27" s="19" t="inlineStr">
        <is>
          <t>• Run tests for at least 10 minutes to reach stable state</t>
        </is>
      </c>
    </row>
    <row r="28" ht="15" customHeight="1" s="20">
      <c r="B28" s="19" t="inlineStr">
        <is>
          <t>• Target 80-90% utilization without 429 errors</t>
        </is>
      </c>
    </row>
    <row r="29" ht="15" customHeight="1" s="20">
      <c r="B29" s="19" t="inlineStr">
        <is>
          <t>• Record P95 latency - should meet SLA requirements</t>
        </is>
      </c>
    </row>
    <row r="30" ht="15" customHeight="1" s="20">
      <c r="B30" s="19" t="inlineStr">
        <is>
          <t>• Update calculator inputs based on benchmark findings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2026-02-02T21:21:01Z</dcterms:created>
  <dcterms:modified xmlns:dcterms="http://purl.org/dc/terms/" xmlns:xsi="http://www.w3.org/2001/XMLSchema-instance" xsi:type="dcterms:W3CDTF">2026-02-04T14:44:37Z</dcterms:modified>
  <cp:revision>0</cp:revision>
</cp:coreProperties>
</file>